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Allison/Box Sync/ABS/UCLA/+1 First Year/Hoffmann-Fall/ModelingProject/ksheu.library2/"/>
    </mc:Choice>
  </mc:AlternateContent>
  <xr:revisionPtr revIDLastSave="0" documentId="13_ncr:1_{A343B64F-B0BC-6449-A64B-A8469B73F494}" xr6:coauthVersionLast="43" xr6:coauthVersionMax="43" xr10:uidLastSave="{00000000-0000-0000-0000-000000000000}"/>
  <bookViews>
    <workbookView xWindow="1400" yWindow="460" windowWidth="23540" windowHeight="15540" activeTab="1" xr2:uid="{00000000-000D-0000-FFFF-FFFF00000000}"/>
  </bookViews>
  <sheets>
    <sheet name="Species" sheetId="6" r:id="rId1"/>
    <sheet name="Reactions" sheetId="4" r:id="rId2"/>
    <sheet name="Constants" sheetId="3" r:id="rId3"/>
    <sheet name="Reactions-2" sheetId="5" r:id="rId4"/>
    <sheet name="Species_short" sheetId="1" r:id="rId5"/>
    <sheet name="short" sheetId="2" r:id="rId6"/>
  </sheets>
  <definedNames>
    <definedName name="_xlnm._FilterDatabase" localSheetId="1" hidden="1">Reactions!$A$1:$J$58</definedName>
    <definedName name="_xlnm._FilterDatabase" localSheetId="3" hidden="1">'Reactions-2'!$A$1:$I$57</definedName>
    <definedName name="_xlnm._FilterDatabase" localSheetId="5" hidden="1">short!$A$1:$I$13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3" i="4" l="1"/>
  <c r="E57" i="4"/>
  <c r="I111" i="4"/>
  <c r="I112" i="4" s="1"/>
  <c r="I108" i="4"/>
  <c r="I107" i="4"/>
  <c r="I104" i="4"/>
  <c r="I103" i="4"/>
  <c r="I100" i="4"/>
  <c r="I99" i="4"/>
  <c r="I96" i="4"/>
  <c r="I95" i="4"/>
  <c r="I92" i="4"/>
  <c r="I91" i="4"/>
  <c r="I87" i="4"/>
  <c r="I88" i="4" s="1"/>
  <c r="I84" i="4"/>
  <c r="I83" i="4"/>
  <c r="I80" i="4"/>
  <c r="I79" i="4"/>
  <c r="I76" i="4"/>
  <c r="I75" i="4"/>
  <c r="I72" i="4"/>
  <c r="I71" i="4"/>
  <c r="I68" i="4"/>
  <c r="I67" i="4"/>
  <c r="E65" i="4"/>
  <c r="E69" i="4" s="1"/>
  <c r="E73" i="4" s="1"/>
  <c r="E77" i="4" s="1"/>
  <c r="E81" i="4" s="1"/>
  <c r="E85" i="4" s="1"/>
  <c r="E89" i="4" s="1"/>
  <c r="E93" i="4" s="1"/>
  <c r="E97" i="4" s="1"/>
  <c r="E101" i="4" s="1"/>
  <c r="E105" i="4" s="1"/>
  <c r="E109" i="4" s="1"/>
  <c r="I64" i="4"/>
  <c r="I63" i="4"/>
  <c r="E62" i="4"/>
  <c r="E66" i="4" s="1"/>
  <c r="E70" i="4" s="1"/>
  <c r="E74" i="4" s="1"/>
  <c r="E78" i="4" s="1"/>
  <c r="E82" i="4" s="1"/>
  <c r="E86" i="4" s="1"/>
  <c r="E90" i="4" s="1"/>
  <c r="E94" i="4" s="1"/>
  <c r="E98" i="4" s="1"/>
  <c r="E102" i="4" s="1"/>
  <c r="E106" i="4" s="1"/>
  <c r="E110" i="4" s="1"/>
  <c r="I60" i="4"/>
  <c r="I59" i="4"/>
  <c r="E9" i="5" l="1"/>
  <c r="E13" i="5" l="1"/>
  <c r="E17" i="5" s="1"/>
  <c r="E21" i="5" s="1"/>
  <c r="E25" i="5" s="1"/>
  <c r="E29" i="5" s="1"/>
  <c r="E33" i="5" s="1"/>
  <c r="E37" i="5" s="1"/>
  <c r="E41" i="5" s="1"/>
  <c r="E45" i="5" s="1"/>
  <c r="E49" i="5" s="1"/>
  <c r="E53" i="5" s="1"/>
  <c r="E57" i="5" s="1"/>
  <c r="E6" i="5"/>
  <c r="E10" i="5" s="1"/>
  <c r="E14" i="5" s="1"/>
  <c r="E18" i="5" s="1"/>
  <c r="E22" i="5" s="1"/>
  <c r="E26" i="5" s="1"/>
  <c r="E9" i="4" l="1"/>
  <c r="E13" i="4" s="1"/>
  <c r="E17" i="4" s="1"/>
  <c r="E21" i="4" s="1"/>
  <c r="E25" i="4" s="1"/>
  <c r="E29" i="4" s="1"/>
  <c r="E33" i="4" s="1"/>
  <c r="E37" i="4" s="1"/>
  <c r="E41" i="4" s="1"/>
  <c r="E45" i="4" s="1"/>
  <c r="E49" i="4" s="1"/>
  <c r="E53" i="4" s="1"/>
  <c r="E6" i="4"/>
  <c r="E10" i="4" s="1"/>
  <c r="E14" i="4" s="1"/>
  <c r="E18" i="4" s="1"/>
  <c r="E22" i="4" s="1"/>
  <c r="E26" i="4" s="1"/>
  <c r="E30" i="4" s="1"/>
  <c r="E34" i="4" s="1"/>
  <c r="E38" i="4" s="1"/>
  <c r="E42" i="4" s="1"/>
  <c r="E46" i="4" s="1"/>
  <c r="E50" i="4" s="1"/>
  <c r="E54" i="4" s="1"/>
  <c r="I55" i="4"/>
  <c r="I56" i="4" s="1"/>
  <c r="I51" i="4"/>
  <c r="I52" i="4" s="1"/>
  <c r="I47" i="4"/>
  <c r="I48" i="4" s="1"/>
  <c r="I43" i="4"/>
  <c r="I44" i="4" s="1"/>
  <c r="I39" i="4"/>
  <c r="I40" i="4" s="1"/>
  <c r="I35" i="4"/>
  <c r="I36" i="4" s="1"/>
  <c r="I31" i="4"/>
  <c r="I32" i="4" s="1"/>
  <c r="I27" i="4"/>
  <c r="I28" i="4" s="1"/>
  <c r="I23" i="4"/>
  <c r="I24" i="4" s="1"/>
  <c r="I19" i="4"/>
  <c r="I20" i="4" s="1"/>
  <c r="I15" i="4"/>
  <c r="I16" i="4" s="1"/>
  <c r="I11" i="4"/>
  <c r="I12" i="4" s="1"/>
  <c r="I7" i="4"/>
  <c r="I8" i="4" s="1"/>
  <c r="I3" i="4"/>
  <c r="I4" i="4" s="1"/>
  <c r="E9" i="2" l="1"/>
  <c r="E13" i="2" s="1"/>
  <c r="I55" i="5"/>
  <c r="I56" i="5" s="1"/>
  <c r="I51" i="5"/>
  <c r="I52" i="5" s="1"/>
  <c r="I47" i="5"/>
  <c r="I48" i="5" s="1"/>
  <c r="I43" i="5"/>
  <c r="I44" i="5" s="1"/>
  <c r="I39" i="5"/>
  <c r="I40" i="5" s="1"/>
  <c r="I35" i="5"/>
  <c r="I36" i="5" s="1"/>
  <c r="I31" i="5"/>
  <c r="I32" i="5" s="1"/>
  <c r="I27" i="5"/>
  <c r="I28" i="5" s="1"/>
  <c r="I23" i="5"/>
  <c r="I24" i="5" s="1"/>
  <c r="I19" i="5"/>
  <c r="I20" i="5" s="1"/>
  <c r="I15" i="5"/>
  <c r="I16" i="5" s="1"/>
  <c r="I11" i="5"/>
  <c r="I12" i="5" s="1"/>
  <c r="I7" i="5"/>
  <c r="I8" i="5" s="1"/>
  <c r="I3" i="5"/>
  <c r="I4" i="5" s="1"/>
  <c r="E6" i="2"/>
  <c r="E10" i="2" s="1"/>
  <c r="I11" i="2" l="1"/>
  <c r="I12" i="2" s="1"/>
  <c r="I7" i="2"/>
  <c r="I8" i="2" s="1"/>
  <c r="I3" i="2"/>
  <c r="I4" i="2" s="1"/>
</calcChain>
</file>

<file path=xl/sharedStrings.xml><?xml version="1.0" encoding="utf-8"?>
<sst xmlns="http://schemas.openxmlformats.org/spreadsheetml/2006/main" count="860" uniqueCount="76">
  <si>
    <t>#</t>
  </si>
  <si>
    <t>Rxn</t>
  </si>
  <si>
    <t>Value</t>
  </si>
  <si>
    <t>Unit</t>
  </si>
  <si>
    <t>Description</t>
  </si>
  <si>
    <t>Source</t>
  </si>
  <si>
    <t>→</t>
  </si>
  <si>
    <t>Reactants</t>
  </si>
  <si>
    <t>Products</t>
  </si>
  <si>
    <t>Name</t>
  </si>
  <si>
    <t>E_0</t>
  </si>
  <si>
    <t>E_1</t>
  </si>
  <si>
    <t>E_2</t>
  </si>
  <si>
    <t>E_3</t>
  </si>
  <si>
    <t>E_4</t>
  </si>
  <si>
    <t>E_5</t>
  </si>
  <si>
    <t>E_6</t>
  </si>
  <si>
    <t>E_7</t>
  </si>
  <si>
    <t>E_8</t>
  </si>
  <si>
    <t>E_9</t>
  </si>
  <si>
    <t>E_10</t>
  </si>
  <si>
    <t>E_11</t>
  </si>
  <si>
    <t>E_12</t>
  </si>
  <si>
    <t>E_13</t>
  </si>
  <si>
    <t>min ⁻¹</t>
  </si>
  <si>
    <t>Hill coef.</t>
  </si>
  <si>
    <t>Hill coefficient for TF binding</t>
  </si>
  <si>
    <t>Kd for TF binding</t>
  </si>
  <si>
    <t>Kd</t>
  </si>
  <si>
    <t>Widom 2011</t>
  </si>
  <si>
    <t>E_14</t>
  </si>
  <si>
    <t>tf + E_0</t>
  </si>
  <si>
    <t>tf + E_1</t>
  </si>
  <si>
    <t>tf + E_2</t>
  </si>
  <si>
    <t>tf + E_3</t>
  </si>
  <si>
    <t>tf + E_4</t>
  </si>
  <si>
    <t>tf + E_5</t>
  </si>
  <si>
    <t>tf + E_6</t>
  </si>
  <si>
    <t>tf + E_7</t>
  </si>
  <si>
    <t>tf + E_8</t>
  </si>
  <si>
    <t>tf + E_9</t>
  </si>
  <si>
    <t>tf + E_10</t>
  </si>
  <si>
    <t>tf + E_11</t>
  </si>
  <si>
    <t>tf + E_12</t>
  </si>
  <si>
    <t>tf + E_13</t>
  </si>
  <si>
    <t>uM⁻¹min ⁻¹</t>
  </si>
  <si>
    <t>Eh_0</t>
  </si>
  <si>
    <t>Eh_1</t>
  </si>
  <si>
    <t>Eh_2</t>
  </si>
  <si>
    <t>Eh_3</t>
  </si>
  <si>
    <t>Eh_4</t>
  </si>
  <si>
    <t>Eh_5</t>
  </si>
  <si>
    <t>Eh_6</t>
  </si>
  <si>
    <t>Eh_7</t>
  </si>
  <si>
    <t>Eh_8</t>
  </si>
  <si>
    <t>Eh_9</t>
  </si>
  <si>
    <t>Eh_10</t>
  </si>
  <si>
    <t>Eh_11</t>
  </si>
  <si>
    <t>Eh_12</t>
  </si>
  <si>
    <t>Eh_13</t>
  </si>
  <si>
    <t>Eh_14</t>
  </si>
  <si>
    <t>tf + Eh_0</t>
  </si>
  <si>
    <t>tf + Eh_1</t>
  </si>
  <si>
    <t>tf + Eh_2</t>
  </si>
  <si>
    <t>tf + Eh_3</t>
  </si>
  <si>
    <t>tf + Eh_4</t>
  </si>
  <si>
    <t>tf + Eh_5</t>
  </si>
  <si>
    <t>tf + Eh_6</t>
  </si>
  <si>
    <t>tf + Eh_7</t>
  </si>
  <si>
    <t>tf + Eh_8</t>
  </si>
  <si>
    <t>tf + Eh_9</t>
  </si>
  <si>
    <t>tf + Eh_10</t>
  </si>
  <si>
    <t>tf + Eh_11</t>
  </si>
  <si>
    <t>tf + Eh_12</t>
  </si>
  <si>
    <t>tf + Eh_13</t>
  </si>
  <si>
    <t>Assuming constant rate to 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</si>
</sst>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Helvetica Neue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4" borderId="0" xfId="0" applyFill="1"/>
    <xf numFmtId="0" fontId="3" fillId="0" borderId="0" xfId="0" applyFont="1" applyAlignment="1">
      <alignment wrapText="1"/>
    </xf>
    <xf numFmtId="0" fontId="4" fillId="4" borderId="0" xfId="0" applyFont="1" applyFill="1"/>
    <xf numFmtId="0" fontId="4" fillId="0" borderId="0" xfId="0" applyFont="1"/>
    <xf numFmtId="0" fontId="5" fillId="0" borderId="0" xfId="0" applyFont="1" applyBorder="1" applyAlignment="1">
      <alignment wrapText="1"/>
    </xf>
    <xf numFmtId="0" fontId="5" fillId="0" borderId="0" xfId="0" applyNumberFormat="1" applyFont="1" applyBorder="1" applyAlignment="1">
      <alignment horizontal="right" wrapText="1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4" fillId="3" borderId="0" xfId="0" applyFont="1" applyFill="1"/>
    <xf numFmtId="0" fontId="4" fillId="0" borderId="0" xfId="0" applyFont="1" applyAlignment="1"/>
    <xf numFmtId="0" fontId="4" fillId="5" borderId="0" xfId="1" applyFont="1" applyFill="1"/>
    <xf numFmtId="0" fontId="2" fillId="5" borderId="0" xfId="1" applyFill="1" applyAlignment="1">
      <alignment horizontal="right"/>
    </xf>
    <xf numFmtId="0" fontId="0" fillId="5" borderId="0" xfId="1" applyFont="1" applyFill="1"/>
    <xf numFmtId="0" fontId="2" fillId="5" borderId="0" xfId="1" applyFill="1" applyAlignment="1">
      <alignment wrapText="1"/>
    </xf>
    <xf numFmtId="0" fontId="0" fillId="5" borderId="0" xfId="1" applyFont="1" applyFill="1" applyAlignment="1">
      <alignment wrapText="1"/>
    </xf>
    <xf numFmtId="0" fontId="2" fillId="5" borderId="0" xfId="1" applyFill="1"/>
    <xf numFmtId="0" fontId="0" fillId="5" borderId="0" xfId="0" applyFill="1"/>
    <xf numFmtId="2" fontId="6" fillId="4" borderId="0" xfId="0" applyNumberFormat="1" applyFont="1" applyFill="1" applyAlignment="1">
      <alignment horizontal="center"/>
    </xf>
    <xf numFmtId="2" fontId="4" fillId="0" borderId="0" xfId="0" applyNumberFormat="1" applyFont="1"/>
    <xf numFmtId="2" fontId="4" fillId="5" borderId="0" xfId="1" applyNumberFormat="1" applyFont="1" applyFill="1"/>
    <xf numFmtId="0" fontId="4" fillId="0" borderId="0" xfId="0" applyFont="1" applyAlignment="1">
      <alignment horizontal="right"/>
    </xf>
    <xf numFmtId="0" fontId="5" fillId="0" borderId="0" xfId="0" applyFont="1" applyFill="1" applyBorder="1" applyAlignment="1">
      <alignment wrapText="1"/>
    </xf>
    <xf numFmtId="165" fontId="4" fillId="0" borderId="0" xfId="0" applyNumberFormat="1" applyFont="1"/>
  </cellXfs>
  <cellStyles count="2">
    <cellStyle name="40% - Accent3" xfId="1" builtinId="39"/>
    <cellStyle name="Normal" xfId="0" builtinId="0"/>
  </cellStyles>
  <dxfs count="182"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theme="2" tint="-9.9948118533890809E-2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  <dxf>
      <fill>
        <patternFill patternType="solid">
          <fgColor rgb="FFF3F3F3"/>
          <bgColor rgb="FFF3F3F3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C16" sqref="C16"/>
    </sheetView>
  </sheetViews>
  <sheetFormatPr baseColWidth="10" defaultColWidth="9" defaultRowHeight="14" x14ac:dyDescent="0.15"/>
  <cols>
    <col min="1" max="16384" width="9" style="5"/>
  </cols>
  <sheetData>
    <row r="1" spans="1:2" s="10" customFormat="1" x14ac:dyDescent="0.15">
      <c r="A1" s="10" t="s">
        <v>0</v>
      </c>
      <c r="B1" s="10" t="s">
        <v>9</v>
      </c>
    </row>
    <row r="2" spans="1:2" x14ac:dyDescent="0.15">
      <c r="A2" s="5">
        <v>1</v>
      </c>
      <c r="B2" s="5" t="s">
        <v>10</v>
      </c>
    </row>
    <row r="3" spans="1:2" x14ac:dyDescent="0.15">
      <c r="A3" s="5">
        <v>2</v>
      </c>
      <c r="B3" s="5" t="s">
        <v>11</v>
      </c>
    </row>
    <row r="4" spans="1:2" x14ac:dyDescent="0.15">
      <c r="A4" s="5">
        <v>3</v>
      </c>
      <c r="B4" s="5" t="s">
        <v>12</v>
      </c>
    </row>
    <row r="5" spans="1:2" x14ac:dyDescent="0.15">
      <c r="A5" s="5">
        <v>4</v>
      </c>
      <c r="B5" s="5" t="s">
        <v>13</v>
      </c>
    </row>
    <row r="6" spans="1:2" x14ac:dyDescent="0.15">
      <c r="A6" s="5">
        <v>5</v>
      </c>
      <c r="B6" s="5" t="s">
        <v>14</v>
      </c>
    </row>
    <row r="7" spans="1:2" x14ac:dyDescent="0.15">
      <c r="A7" s="5">
        <v>6</v>
      </c>
      <c r="B7" s="5" t="s">
        <v>15</v>
      </c>
    </row>
    <row r="8" spans="1:2" x14ac:dyDescent="0.15">
      <c r="A8" s="5">
        <v>7</v>
      </c>
      <c r="B8" s="5" t="s">
        <v>16</v>
      </c>
    </row>
    <row r="9" spans="1:2" x14ac:dyDescent="0.15">
      <c r="A9" s="5">
        <v>8</v>
      </c>
      <c r="B9" s="5" t="s">
        <v>17</v>
      </c>
    </row>
    <row r="10" spans="1:2" x14ac:dyDescent="0.15">
      <c r="A10" s="5">
        <v>9</v>
      </c>
      <c r="B10" s="5" t="s">
        <v>18</v>
      </c>
    </row>
    <row r="11" spans="1:2" x14ac:dyDescent="0.15">
      <c r="A11" s="5">
        <v>10</v>
      </c>
      <c r="B11" s="5" t="s">
        <v>19</v>
      </c>
    </row>
    <row r="12" spans="1:2" x14ac:dyDescent="0.15">
      <c r="A12" s="5">
        <v>11</v>
      </c>
      <c r="B12" s="5" t="s">
        <v>20</v>
      </c>
    </row>
    <row r="13" spans="1:2" x14ac:dyDescent="0.15">
      <c r="A13" s="5">
        <v>12</v>
      </c>
      <c r="B13" s="5" t="s">
        <v>21</v>
      </c>
    </row>
    <row r="14" spans="1:2" x14ac:dyDescent="0.15">
      <c r="A14" s="5">
        <v>13</v>
      </c>
      <c r="B14" s="5" t="s">
        <v>22</v>
      </c>
    </row>
    <row r="15" spans="1:2" x14ac:dyDescent="0.15">
      <c r="A15" s="5">
        <v>14</v>
      </c>
      <c r="B15" s="5" t="s">
        <v>23</v>
      </c>
    </row>
    <row r="16" spans="1:2" x14ac:dyDescent="0.15">
      <c r="A16" s="5">
        <v>15</v>
      </c>
      <c r="B16" s="5" t="s">
        <v>30</v>
      </c>
    </row>
    <row r="17" spans="1:2" x14ac:dyDescent="0.15">
      <c r="A17" s="5">
        <v>16</v>
      </c>
      <c r="B17" s="5" t="s">
        <v>46</v>
      </c>
    </row>
    <row r="18" spans="1:2" x14ac:dyDescent="0.15">
      <c r="A18" s="5">
        <v>17</v>
      </c>
      <c r="B18" s="5" t="s">
        <v>47</v>
      </c>
    </row>
    <row r="19" spans="1:2" x14ac:dyDescent="0.15">
      <c r="A19" s="5">
        <v>18</v>
      </c>
      <c r="B19" s="5" t="s">
        <v>48</v>
      </c>
    </row>
    <row r="20" spans="1:2" x14ac:dyDescent="0.15">
      <c r="A20" s="5">
        <v>19</v>
      </c>
      <c r="B20" s="5" t="s">
        <v>49</v>
      </c>
    </row>
    <row r="21" spans="1:2" x14ac:dyDescent="0.15">
      <c r="A21" s="5">
        <v>20</v>
      </c>
      <c r="B21" s="5" t="s">
        <v>50</v>
      </c>
    </row>
    <row r="22" spans="1:2" x14ac:dyDescent="0.15">
      <c r="A22" s="5">
        <v>21</v>
      </c>
      <c r="B22" s="5" t="s">
        <v>51</v>
      </c>
    </row>
    <row r="23" spans="1:2" x14ac:dyDescent="0.15">
      <c r="A23" s="5">
        <v>22</v>
      </c>
      <c r="B23" s="5" t="s">
        <v>52</v>
      </c>
    </row>
    <row r="24" spans="1:2" x14ac:dyDescent="0.15">
      <c r="A24" s="5">
        <v>23</v>
      </c>
      <c r="B24" s="5" t="s">
        <v>53</v>
      </c>
    </row>
    <row r="25" spans="1:2" x14ac:dyDescent="0.15">
      <c r="A25" s="5">
        <v>24</v>
      </c>
      <c r="B25" s="5" t="s">
        <v>54</v>
      </c>
    </row>
    <row r="26" spans="1:2" x14ac:dyDescent="0.15">
      <c r="A26" s="5">
        <v>25</v>
      </c>
      <c r="B26" s="5" t="s">
        <v>55</v>
      </c>
    </row>
    <row r="27" spans="1:2" x14ac:dyDescent="0.15">
      <c r="A27" s="5">
        <v>26</v>
      </c>
      <c r="B27" s="5" t="s">
        <v>56</v>
      </c>
    </row>
    <row r="28" spans="1:2" x14ac:dyDescent="0.15">
      <c r="A28" s="5">
        <v>27</v>
      </c>
      <c r="B28" s="5" t="s">
        <v>57</v>
      </c>
    </row>
    <row r="29" spans="1:2" x14ac:dyDescent="0.15">
      <c r="A29" s="5">
        <v>28</v>
      </c>
      <c r="B29" s="5" t="s">
        <v>58</v>
      </c>
    </row>
    <row r="30" spans="1:2" x14ac:dyDescent="0.15">
      <c r="A30" s="5">
        <v>29</v>
      </c>
      <c r="B30" s="5" t="s">
        <v>59</v>
      </c>
    </row>
    <row r="31" spans="1:2" x14ac:dyDescent="0.15">
      <c r="A31" s="5">
        <v>30</v>
      </c>
      <c r="B31" s="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8"/>
  <sheetViews>
    <sheetView tabSelected="1" topLeftCell="A96" zoomScale="115" zoomScaleNormal="115" workbookViewId="0">
      <selection activeCell="E114" sqref="E114:E128"/>
    </sheetView>
  </sheetViews>
  <sheetFormatPr baseColWidth="10" defaultColWidth="8.83203125" defaultRowHeight="15" x14ac:dyDescent="0.2"/>
  <cols>
    <col min="1" max="1" width="7.33203125" customWidth="1"/>
    <col min="2" max="2" width="12.6640625" customWidth="1"/>
    <col min="5" max="5" width="13.33203125" style="20" customWidth="1"/>
    <col min="6" max="6" width="12.6640625" customWidth="1"/>
    <col min="7" max="7" width="42" customWidth="1"/>
    <col min="8" max="8" width="11.5" customWidth="1"/>
  </cols>
  <sheetData>
    <row r="1" spans="1:9" s="2" customFormat="1" x14ac:dyDescent="0.2">
      <c r="A1" s="8" t="s">
        <v>0</v>
      </c>
      <c r="B1" s="8" t="s">
        <v>7</v>
      </c>
      <c r="C1" s="8" t="s">
        <v>1</v>
      </c>
      <c r="D1" s="8" t="s">
        <v>8</v>
      </c>
      <c r="E1" s="19" t="s">
        <v>2</v>
      </c>
      <c r="F1" s="8" t="s">
        <v>3</v>
      </c>
      <c r="G1" s="8" t="s">
        <v>4</v>
      </c>
      <c r="H1" s="8" t="s">
        <v>5</v>
      </c>
      <c r="I1" s="4"/>
    </row>
    <row r="2" spans="1:9" ht="16" x14ac:dyDescent="0.2">
      <c r="A2" s="22">
        <v>1</v>
      </c>
      <c r="B2" s="5" t="s">
        <v>31</v>
      </c>
      <c r="C2" s="9" t="s">
        <v>6</v>
      </c>
      <c r="D2" s="9" t="s">
        <v>11</v>
      </c>
      <c r="E2" s="20">
        <v>10</v>
      </c>
      <c r="F2" s="5" t="s">
        <v>45</v>
      </c>
      <c r="G2" s="5" t="s">
        <v>29</v>
      </c>
      <c r="H2" s="5"/>
      <c r="I2" s="5"/>
    </row>
    <row r="3" spans="1:9" s="3" customFormat="1" x14ac:dyDescent="0.15">
      <c r="A3" s="22"/>
      <c r="B3" s="6"/>
      <c r="C3" s="6" t="s">
        <v>6</v>
      </c>
      <c r="D3" s="6"/>
      <c r="E3" s="7">
        <v>3</v>
      </c>
      <c r="F3" s="6" t="s">
        <v>25</v>
      </c>
      <c r="G3" s="6" t="s">
        <v>26</v>
      </c>
      <c r="H3" s="6"/>
      <c r="I3" s="6">
        <f>IF(ISBLANK(A3),I2,A3)</f>
        <v>0</v>
      </c>
    </row>
    <row r="4" spans="1:9" s="3" customFormat="1" x14ac:dyDescent="0.15">
      <c r="A4" s="22"/>
      <c r="B4" s="6"/>
      <c r="C4" s="6" t="s">
        <v>6</v>
      </c>
      <c r="D4" s="6"/>
      <c r="E4" s="7">
        <v>0.8</v>
      </c>
      <c r="F4" s="6" t="s">
        <v>28</v>
      </c>
      <c r="G4" s="6" t="s">
        <v>27</v>
      </c>
      <c r="H4" s="6"/>
      <c r="I4" s="6">
        <f>IF(ISBLANK(A4),I3,A4)</f>
        <v>0</v>
      </c>
    </row>
    <row r="5" spans="1:9" s="17" customFormat="1" ht="16" x14ac:dyDescent="0.2">
      <c r="A5" s="13">
        <v>2</v>
      </c>
      <c r="B5" s="14" t="s">
        <v>11</v>
      </c>
      <c r="C5" s="15" t="s">
        <v>6</v>
      </c>
      <c r="D5" s="16" t="s">
        <v>10</v>
      </c>
      <c r="E5" s="21">
        <v>75</v>
      </c>
      <c r="F5" s="17" t="s">
        <v>24</v>
      </c>
      <c r="G5" s="17" t="s">
        <v>29</v>
      </c>
    </row>
    <row r="6" spans="1:9" ht="16" x14ac:dyDescent="0.2">
      <c r="A6" s="22">
        <v>3</v>
      </c>
      <c r="B6" s="5" t="s">
        <v>32</v>
      </c>
      <c r="C6" s="9" t="s">
        <v>6</v>
      </c>
      <c r="D6" s="5" t="s">
        <v>12</v>
      </c>
      <c r="E6" s="20">
        <f>E2*1.2</f>
        <v>12</v>
      </c>
      <c r="F6" s="5" t="s">
        <v>45</v>
      </c>
      <c r="G6" s="5" t="s">
        <v>29</v>
      </c>
      <c r="H6" s="5"/>
      <c r="I6" s="5"/>
    </row>
    <row r="7" spans="1:9" s="3" customFormat="1" x14ac:dyDescent="0.15">
      <c r="A7" s="22"/>
      <c r="B7" s="6"/>
      <c r="C7" s="6" t="s">
        <v>6</v>
      </c>
      <c r="D7" s="6"/>
      <c r="E7" s="7">
        <v>3</v>
      </c>
      <c r="F7" s="6" t="s">
        <v>25</v>
      </c>
      <c r="G7" s="6" t="s">
        <v>26</v>
      </c>
      <c r="H7" s="6"/>
      <c r="I7" s="6">
        <f>IF(ISBLANK(A7),I6,A7)</f>
        <v>0</v>
      </c>
    </row>
    <row r="8" spans="1:9" s="3" customFormat="1" x14ac:dyDescent="0.15">
      <c r="A8" s="22"/>
      <c r="B8" s="6"/>
      <c r="C8" s="6" t="s">
        <v>6</v>
      </c>
      <c r="D8" s="6"/>
      <c r="E8" s="7">
        <v>0.8</v>
      </c>
      <c r="F8" s="6" t="s">
        <v>28</v>
      </c>
      <c r="G8" s="6" t="s">
        <v>27</v>
      </c>
      <c r="H8" s="6"/>
      <c r="I8" s="6">
        <f>IF(ISBLANK(A8),I7,A8)</f>
        <v>0</v>
      </c>
    </row>
    <row r="9" spans="1:9" s="17" customFormat="1" ht="16" x14ac:dyDescent="0.2">
      <c r="A9" s="13">
        <v>4</v>
      </c>
      <c r="B9" s="14" t="s">
        <v>12</v>
      </c>
      <c r="C9" s="15" t="s">
        <v>6</v>
      </c>
      <c r="D9" s="14" t="s">
        <v>11</v>
      </c>
      <c r="E9" s="21">
        <f>E5*0.8</f>
        <v>60</v>
      </c>
      <c r="F9" s="17" t="s">
        <v>24</v>
      </c>
      <c r="G9" s="17" t="s">
        <v>29</v>
      </c>
    </row>
    <row r="10" spans="1:9" ht="16" x14ac:dyDescent="0.2">
      <c r="A10" s="22">
        <v>5</v>
      </c>
      <c r="B10" s="5" t="s">
        <v>33</v>
      </c>
      <c r="C10" s="9" t="s">
        <v>6</v>
      </c>
      <c r="D10" s="5" t="s">
        <v>13</v>
      </c>
      <c r="E10" s="20">
        <f>E6*1.2</f>
        <v>14.399999999999999</v>
      </c>
      <c r="F10" s="5" t="s">
        <v>45</v>
      </c>
      <c r="G10" s="5" t="s">
        <v>29</v>
      </c>
      <c r="H10" s="5"/>
      <c r="I10" s="5"/>
    </row>
    <row r="11" spans="1:9" s="3" customFormat="1" x14ac:dyDescent="0.15">
      <c r="A11" s="22"/>
      <c r="B11" s="6"/>
      <c r="C11" s="6" t="s">
        <v>6</v>
      </c>
      <c r="D11" s="6"/>
      <c r="E11" s="7">
        <v>3</v>
      </c>
      <c r="F11" s="6" t="s">
        <v>25</v>
      </c>
      <c r="G11" s="6" t="s">
        <v>26</v>
      </c>
      <c r="H11" s="6"/>
      <c r="I11" s="6">
        <f>IF(ISBLANK(A11),I10,A11)</f>
        <v>0</v>
      </c>
    </row>
    <row r="12" spans="1:9" s="3" customFormat="1" x14ac:dyDescent="0.15">
      <c r="A12" s="22"/>
      <c r="B12" s="6"/>
      <c r="C12" s="6" t="s">
        <v>6</v>
      </c>
      <c r="D12" s="6"/>
      <c r="E12" s="7">
        <v>0.8</v>
      </c>
      <c r="F12" s="6" t="s">
        <v>28</v>
      </c>
      <c r="G12" s="6" t="s">
        <v>27</v>
      </c>
      <c r="H12" s="6"/>
      <c r="I12" s="6">
        <f>IF(ISBLANK(A12),I11,A12)</f>
        <v>0</v>
      </c>
    </row>
    <row r="13" spans="1:9" s="17" customFormat="1" ht="16" x14ac:dyDescent="0.2">
      <c r="A13" s="13">
        <v>6</v>
      </c>
      <c r="B13" s="14" t="s">
        <v>13</v>
      </c>
      <c r="C13" s="15" t="s">
        <v>6</v>
      </c>
      <c r="D13" s="14" t="s">
        <v>12</v>
      </c>
      <c r="E13" s="21">
        <f>E9*0.8</f>
        <v>48</v>
      </c>
      <c r="F13" s="17" t="s">
        <v>24</v>
      </c>
      <c r="G13" s="17" t="s">
        <v>29</v>
      </c>
    </row>
    <row r="14" spans="1:9" ht="16" x14ac:dyDescent="0.2">
      <c r="A14" s="22">
        <v>7</v>
      </c>
      <c r="B14" s="5" t="s">
        <v>34</v>
      </c>
      <c r="C14" s="9" t="s">
        <v>6</v>
      </c>
      <c r="D14" s="5" t="s">
        <v>14</v>
      </c>
      <c r="E14" s="20">
        <f>E10*1.2</f>
        <v>17.279999999999998</v>
      </c>
      <c r="F14" s="5" t="s">
        <v>45</v>
      </c>
      <c r="G14" s="5" t="s">
        <v>29</v>
      </c>
      <c r="H14" s="5"/>
      <c r="I14" s="5"/>
    </row>
    <row r="15" spans="1:9" s="3" customFormat="1" x14ac:dyDescent="0.15">
      <c r="A15" s="22"/>
      <c r="B15" s="6"/>
      <c r="C15" s="6" t="s">
        <v>6</v>
      </c>
      <c r="D15" s="6"/>
      <c r="E15" s="7">
        <v>3</v>
      </c>
      <c r="F15" s="6" t="s">
        <v>25</v>
      </c>
      <c r="G15" s="6" t="s">
        <v>26</v>
      </c>
      <c r="H15" s="6"/>
      <c r="I15" s="6">
        <f>IF(ISBLANK(A15),I14,A15)</f>
        <v>0</v>
      </c>
    </row>
    <row r="16" spans="1:9" s="3" customFormat="1" x14ac:dyDescent="0.15">
      <c r="A16" s="22"/>
      <c r="B16" s="6"/>
      <c r="C16" s="6" t="s">
        <v>6</v>
      </c>
      <c r="D16" s="6"/>
      <c r="E16" s="7">
        <v>0.8</v>
      </c>
      <c r="F16" s="6" t="s">
        <v>28</v>
      </c>
      <c r="G16" s="6" t="s">
        <v>27</v>
      </c>
      <c r="H16" s="6"/>
      <c r="I16" s="6">
        <f>IF(ISBLANK(A16),I15,A16)</f>
        <v>0</v>
      </c>
    </row>
    <row r="17" spans="1:9" s="17" customFormat="1" ht="16" x14ac:dyDescent="0.2">
      <c r="A17" s="13">
        <v>8</v>
      </c>
      <c r="B17" s="14" t="s">
        <v>14</v>
      </c>
      <c r="C17" s="15" t="s">
        <v>6</v>
      </c>
      <c r="D17" s="14" t="s">
        <v>13</v>
      </c>
      <c r="E17" s="21">
        <f>E13*0.8</f>
        <v>38.400000000000006</v>
      </c>
      <c r="F17" s="17" t="s">
        <v>24</v>
      </c>
      <c r="G17" s="17" t="s">
        <v>29</v>
      </c>
    </row>
    <row r="18" spans="1:9" ht="16" x14ac:dyDescent="0.2">
      <c r="A18" s="22">
        <v>9</v>
      </c>
      <c r="B18" s="5" t="s">
        <v>35</v>
      </c>
      <c r="C18" s="9" t="s">
        <v>6</v>
      </c>
      <c r="D18" s="5" t="s">
        <v>15</v>
      </c>
      <c r="E18" s="20">
        <f>E14*1.2</f>
        <v>20.735999999999997</v>
      </c>
      <c r="F18" s="5" t="s">
        <v>45</v>
      </c>
      <c r="G18" s="5" t="s">
        <v>29</v>
      </c>
      <c r="H18" s="5"/>
      <c r="I18" s="5"/>
    </row>
    <row r="19" spans="1:9" s="3" customFormat="1" x14ac:dyDescent="0.15">
      <c r="A19" s="22"/>
      <c r="B19" s="6"/>
      <c r="C19" s="6" t="s">
        <v>6</v>
      </c>
      <c r="D19" s="6"/>
      <c r="E19" s="7">
        <v>3</v>
      </c>
      <c r="F19" s="6" t="s">
        <v>25</v>
      </c>
      <c r="G19" s="6" t="s">
        <v>26</v>
      </c>
      <c r="H19" s="6"/>
      <c r="I19" s="6">
        <f>IF(ISBLANK(A19),I18,A19)</f>
        <v>0</v>
      </c>
    </row>
    <row r="20" spans="1:9" s="3" customFormat="1" x14ac:dyDescent="0.15">
      <c r="A20" s="22"/>
      <c r="B20" s="6"/>
      <c r="C20" s="6" t="s">
        <v>6</v>
      </c>
      <c r="D20" s="6"/>
      <c r="E20" s="7">
        <v>0.8</v>
      </c>
      <c r="F20" s="6" t="s">
        <v>28</v>
      </c>
      <c r="G20" s="6" t="s">
        <v>27</v>
      </c>
      <c r="H20" s="6"/>
      <c r="I20" s="6">
        <f>IF(ISBLANK(A20),I19,A20)</f>
        <v>0</v>
      </c>
    </row>
    <row r="21" spans="1:9" s="17" customFormat="1" ht="16" x14ac:dyDescent="0.2">
      <c r="A21" s="13">
        <v>10</v>
      </c>
      <c r="B21" s="14" t="s">
        <v>15</v>
      </c>
      <c r="C21" s="15" t="s">
        <v>6</v>
      </c>
      <c r="D21" s="14" t="s">
        <v>14</v>
      </c>
      <c r="E21" s="21">
        <f>E17*0.8</f>
        <v>30.720000000000006</v>
      </c>
      <c r="F21" s="17" t="s">
        <v>24</v>
      </c>
      <c r="G21" s="17" t="s">
        <v>29</v>
      </c>
    </row>
    <row r="22" spans="1:9" ht="16" x14ac:dyDescent="0.2">
      <c r="A22" s="22">
        <v>11</v>
      </c>
      <c r="B22" s="5" t="s">
        <v>36</v>
      </c>
      <c r="C22" s="9" t="s">
        <v>6</v>
      </c>
      <c r="D22" s="5" t="s">
        <v>16</v>
      </c>
      <c r="E22" s="20">
        <f>E18*1.2</f>
        <v>24.883199999999995</v>
      </c>
      <c r="F22" s="5" t="s">
        <v>45</v>
      </c>
      <c r="G22" s="5" t="s">
        <v>29</v>
      </c>
      <c r="H22" s="5"/>
      <c r="I22" s="5"/>
    </row>
    <row r="23" spans="1:9" s="3" customFormat="1" x14ac:dyDescent="0.15">
      <c r="A23" s="22"/>
      <c r="B23" s="6"/>
      <c r="C23" s="6" t="s">
        <v>6</v>
      </c>
      <c r="D23" s="6"/>
      <c r="E23" s="7">
        <v>3</v>
      </c>
      <c r="F23" s="6" t="s">
        <v>25</v>
      </c>
      <c r="G23" s="6" t="s">
        <v>26</v>
      </c>
      <c r="H23" s="6"/>
      <c r="I23" s="6">
        <f>IF(ISBLANK(A23),I22,A23)</f>
        <v>0</v>
      </c>
    </row>
    <row r="24" spans="1:9" s="3" customFormat="1" x14ac:dyDescent="0.15">
      <c r="A24" s="22"/>
      <c r="B24" s="6"/>
      <c r="C24" s="6" t="s">
        <v>6</v>
      </c>
      <c r="D24" s="6"/>
      <c r="E24" s="7">
        <v>0.8</v>
      </c>
      <c r="F24" s="6" t="s">
        <v>28</v>
      </c>
      <c r="G24" s="6" t="s">
        <v>27</v>
      </c>
      <c r="H24" s="6"/>
      <c r="I24" s="6">
        <f>IF(ISBLANK(A24),I23,A24)</f>
        <v>0</v>
      </c>
    </row>
    <row r="25" spans="1:9" s="17" customFormat="1" ht="16" x14ac:dyDescent="0.2">
      <c r="A25" s="13">
        <v>12</v>
      </c>
      <c r="B25" s="14" t="s">
        <v>16</v>
      </c>
      <c r="C25" s="15" t="s">
        <v>6</v>
      </c>
      <c r="D25" s="14" t="s">
        <v>15</v>
      </c>
      <c r="E25" s="21">
        <f>E21*0.8</f>
        <v>24.576000000000008</v>
      </c>
      <c r="F25" s="17" t="s">
        <v>24</v>
      </c>
      <c r="G25" s="17" t="s">
        <v>29</v>
      </c>
    </row>
    <row r="26" spans="1:9" ht="16" x14ac:dyDescent="0.2">
      <c r="A26" s="22">
        <v>13</v>
      </c>
      <c r="B26" s="5" t="s">
        <v>37</v>
      </c>
      <c r="C26" s="9" t="s">
        <v>6</v>
      </c>
      <c r="D26" s="5" t="s">
        <v>17</v>
      </c>
      <c r="E26" s="20">
        <f>E22*1.2</f>
        <v>29.859839999999991</v>
      </c>
      <c r="F26" s="5" t="s">
        <v>45</v>
      </c>
      <c r="G26" s="5" t="s">
        <v>29</v>
      </c>
      <c r="H26" s="5"/>
      <c r="I26" s="5"/>
    </row>
    <row r="27" spans="1:9" s="3" customFormat="1" x14ac:dyDescent="0.15">
      <c r="A27" s="22"/>
      <c r="B27" s="6"/>
      <c r="C27" s="6" t="s">
        <v>6</v>
      </c>
      <c r="D27" s="6"/>
      <c r="E27" s="7">
        <v>3</v>
      </c>
      <c r="F27" s="6" t="s">
        <v>25</v>
      </c>
      <c r="G27" s="6" t="s">
        <v>26</v>
      </c>
      <c r="H27" s="6"/>
      <c r="I27" s="6">
        <f>IF(ISBLANK(A27),I26,A27)</f>
        <v>0</v>
      </c>
    </row>
    <row r="28" spans="1:9" s="3" customFormat="1" x14ac:dyDescent="0.15">
      <c r="A28" s="22"/>
      <c r="B28" s="6"/>
      <c r="C28" s="6" t="s">
        <v>6</v>
      </c>
      <c r="D28" s="6"/>
      <c r="E28" s="7">
        <v>0.8</v>
      </c>
      <c r="F28" s="6" t="s">
        <v>28</v>
      </c>
      <c r="G28" s="6" t="s">
        <v>27</v>
      </c>
      <c r="H28" s="6"/>
      <c r="I28" s="6">
        <f>IF(ISBLANK(A28),I27,A28)</f>
        <v>0</v>
      </c>
    </row>
    <row r="29" spans="1:9" s="17" customFormat="1" ht="16" x14ac:dyDescent="0.2">
      <c r="A29" s="13">
        <v>14</v>
      </c>
      <c r="B29" s="14" t="s">
        <v>17</v>
      </c>
      <c r="C29" s="15" t="s">
        <v>6</v>
      </c>
      <c r="D29" s="14" t="s">
        <v>16</v>
      </c>
      <c r="E29" s="21">
        <f>E25*0.8</f>
        <v>19.660800000000009</v>
      </c>
      <c r="F29" s="17" t="s">
        <v>24</v>
      </c>
      <c r="G29" s="17" t="s">
        <v>29</v>
      </c>
    </row>
    <row r="30" spans="1:9" ht="16" x14ac:dyDescent="0.2">
      <c r="A30" s="22">
        <v>15</v>
      </c>
      <c r="B30" s="5" t="s">
        <v>38</v>
      </c>
      <c r="C30" s="9" t="s">
        <v>6</v>
      </c>
      <c r="D30" s="5" t="s">
        <v>18</v>
      </c>
      <c r="E30" s="20">
        <f>E26*1.2</f>
        <v>35.831807999999988</v>
      </c>
      <c r="F30" s="5" t="s">
        <v>45</v>
      </c>
      <c r="G30" s="5" t="s">
        <v>29</v>
      </c>
      <c r="H30" s="5"/>
      <c r="I30" s="5"/>
    </row>
    <row r="31" spans="1:9" s="3" customFormat="1" x14ac:dyDescent="0.15">
      <c r="A31" s="22"/>
      <c r="B31" s="6"/>
      <c r="C31" s="6" t="s">
        <v>6</v>
      </c>
      <c r="D31" s="6"/>
      <c r="E31" s="7">
        <v>3</v>
      </c>
      <c r="F31" s="6" t="s">
        <v>25</v>
      </c>
      <c r="G31" s="6" t="s">
        <v>26</v>
      </c>
      <c r="H31" s="6"/>
      <c r="I31" s="6">
        <f>IF(ISBLANK(A31),I30,A31)</f>
        <v>0</v>
      </c>
    </row>
    <row r="32" spans="1:9" s="3" customFormat="1" x14ac:dyDescent="0.15">
      <c r="A32" s="22"/>
      <c r="B32" s="6"/>
      <c r="C32" s="6" t="s">
        <v>6</v>
      </c>
      <c r="D32" s="6"/>
      <c r="E32" s="7">
        <v>0.8</v>
      </c>
      <c r="F32" s="6" t="s">
        <v>28</v>
      </c>
      <c r="G32" s="6" t="s">
        <v>27</v>
      </c>
      <c r="H32" s="6"/>
      <c r="I32" s="6">
        <f>IF(ISBLANK(A32),I31,A32)</f>
        <v>0</v>
      </c>
    </row>
    <row r="33" spans="1:9" s="17" customFormat="1" ht="16" x14ac:dyDescent="0.2">
      <c r="A33" s="13">
        <v>16</v>
      </c>
      <c r="B33" s="14" t="s">
        <v>18</v>
      </c>
      <c r="C33" s="15" t="s">
        <v>6</v>
      </c>
      <c r="D33" s="14" t="s">
        <v>17</v>
      </c>
      <c r="E33" s="21">
        <f>E29*0.8</f>
        <v>15.728640000000008</v>
      </c>
      <c r="F33" s="17" t="s">
        <v>24</v>
      </c>
      <c r="G33" s="17" t="s">
        <v>29</v>
      </c>
    </row>
    <row r="34" spans="1:9" ht="16" x14ac:dyDescent="0.2">
      <c r="A34" s="22">
        <v>17</v>
      </c>
      <c r="B34" s="5" t="s">
        <v>39</v>
      </c>
      <c r="C34" s="9" t="s">
        <v>6</v>
      </c>
      <c r="D34" s="5" t="s">
        <v>19</v>
      </c>
      <c r="E34" s="20">
        <f>E30*1.2</f>
        <v>42.998169599999983</v>
      </c>
      <c r="F34" s="5" t="s">
        <v>45</v>
      </c>
      <c r="G34" s="5" t="s">
        <v>29</v>
      </c>
      <c r="H34" s="5"/>
      <c r="I34" s="5"/>
    </row>
    <row r="35" spans="1:9" s="3" customFormat="1" x14ac:dyDescent="0.15">
      <c r="A35" s="22"/>
      <c r="B35" s="6"/>
      <c r="C35" s="6" t="s">
        <v>6</v>
      </c>
      <c r="D35" s="6"/>
      <c r="E35" s="7">
        <v>3</v>
      </c>
      <c r="F35" s="6" t="s">
        <v>25</v>
      </c>
      <c r="G35" s="6" t="s">
        <v>26</v>
      </c>
      <c r="H35" s="6"/>
      <c r="I35" s="6">
        <f>IF(ISBLANK(A35),I34,A35)</f>
        <v>0</v>
      </c>
    </row>
    <row r="36" spans="1:9" s="3" customFormat="1" x14ac:dyDescent="0.15">
      <c r="A36" s="22"/>
      <c r="B36" s="6"/>
      <c r="C36" s="6" t="s">
        <v>6</v>
      </c>
      <c r="D36" s="6"/>
      <c r="E36" s="7">
        <v>0.8</v>
      </c>
      <c r="F36" s="6" t="s">
        <v>28</v>
      </c>
      <c r="G36" s="6" t="s">
        <v>27</v>
      </c>
      <c r="H36" s="6"/>
      <c r="I36" s="6">
        <f>IF(ISBLANK(A36),I35,A36)</f>
        <v>0</v>
      </c>
    </row>
    <row r="37" spans="1:9" s="17" customFormat="1" ht="16" x14ac:dyDescent="0.2">
      <c r="A37" s="13">
        <v>18</v>
      </c>
      <c r="B37" s="14" t="s">
        <v>19</v>
      </c>
      <c r="C37" s="15" t="s">
        <v>6</v>
      </c>
      <c r="D37" s="14" t="s">
        <v>18</v>
      </c>
      <c r="E37" s="21">
        <f>E33*0.8</f>
        <v>12.582912000000007</v>
      </c>
      <c r="F37" s="17" t="s">
        <v>24</v>
      </c>
      <c r="G37" s="17" t="s">
        <v>29</v>
      </c>
    </row>
    <row r="38" spans="1:9" ht="16" x14ac:dyDescent="0.2">
      <c r="A38" s="22">
        <v>19</v>
      </c>
      <c r="B38" s="5" t="s">
        <v>40</v>
      </c>
      <c r="C38" s="9" t="s">
        <v>6</v>
      </c>
      <c r="D38" s="5" t="s">
        <v>20</v>
      </c>
      <c r="E38" s="20">
        <f>E34*1.2</f>
        <v>51.597803519999978</v>
      </c>
      <c r="F38" s="5" t="s">
        <v>45</v>
      </c>
      <c r="G38" s="5" t="s">
        <v>29</v>
      </c>
      <c r="H38" s="5"/>
      <c r="I38" s="5"/>
    </row>
    <row r="39" spans="1:9" s="3" customFormat="1" x14ac:dyDescent="0.15">
      <c r="A39" s="22"/>
      <c r="B39" s="6"/>
      <c r="C39" s="6" t="s">
        <v>6</v>
      </c>
      <c r="D39" s="6"/>
      <c r="E39" s="7">
        <v>3</v>
      </c>
      <c r="F39" s="6" t="s">
        <v>25</v>
      </c>
      <c r="G39" s="6" t="s">
        <v>26</v>
      </c>
      <c r="H39" s="6"/>
      <c r="I39" s="6">
        <f>IF(ISBLANK(A39),I38,A39)</f>
        <v>0</v>
      </c>
    </row>
    <row r="40" spans="1:9" s="3" customFormat="1" x14ac:dyDescent="0.15">
      <c r="A40" s="22"/>
      <c r="B40" s="6"/>
      <c r="C40" s="6" t="s">
        <v>6</v>
      </c>
      <c r="D40" s="6"/>
      <c r="E40" s="7">
        <v>0.8</v>
      </c>
      <c r="F40" s="6" t="s">
        <v>28</v>
      </c>
      <c r="G40" s="6" t="s">
        <v>27</v>
      </c>
      <c r="H40" s="6"/>
      <c r="I40" s="6">
        <f>IF(ISBLANK(A40),I39,A40)</f>
        <v>0</v>
      </c>
    </row>
    <row r="41" spans="1:9" s="17" customFormat="1" ht="16" x14ac:dyDescent="0.2">
      <c r="A41" s="13">
        <v>20</v>
      </c>
      <c r="B41" s="14" t="s">
        <v>20</v>
      </c>
      <c r="C41" s="15" t="s">
        <v>6</v>
      </c>
      <c r="D41" s="14" t="s">
        <v>19</v>
      </c>
      <c r="E41" s="21">
        <f>E37*0.8</f>
        <v>10.066329600000007</v>
      </c>
      <c r="F41" s="17" t="s">
        <v>24</v>
      </c>
      <c r="G41" s="17" t="s">
        <v>29</v>
      </c>
    </row>
    <row r="42" spans="1:9" ht="16" x14ac:dyDescent="0.2">
      <c r="A42" s="22">
        <v>21</v>
      </c>
      <c r="B42" s="5" t="s">
        <v>41</v>
      </c>
      <c r="C42" s="9" t="s">
        <v>6</v>
      </c>
      <c r="D42" s="5" t="s">
        <v>21</v>
      </c>
      <c r="E42" s="20">
        <f>E38*1.2</f>
        <v>61.917364223999968</v>
      </c>
      <c r="F42" s="5" t="s">
        <v>45</v>
      </c>
      <c r="G42" s="5" t="s">
        <v>29</v>
      </c>
      <c r="H42" s="5"/>
      <c r="I42" s="5"/>
    </row>
    <row r="43" spans="1:9" s="3" customFormat="1" x14ac:dyDescent="0.15">
      <c r="A43" s="22"/>
      <c r="B43" s="6"/>
      <c r="C43" s="6" t="s">
        <v>6</v>
      </c>
      <c r="D43" s="6"/>
      <c r="E43" s="7">
        <v>3</v>
      </c>
      <c r="F43" s="6" t="s">
        <v>25</v>
      </c>
      <c r="G43" s="6" t="s">
        <v>26</v>
      </c>
      <c r="H43" s="6"/>
      <c r="I43" s="6">
        <f>IF(ISBLANK(A43),I42,A43)</f>
        <v>0</v>
      </c>
    </row>
    <row r="44" spans="1:9" s="3" customFormat="1" x14ac:dyDescent="0.15">
      <c r="A44" s="22"/>
      <c r="B44" s="6"/>
      <c r="C44" s="6" t="s">
        <v>6</v>
      </c>
      <c r="D44" s="6"/>
      <c r="E44" s="7">
        <v>0.8</v>
      </c>
      <c r="F44" s="6" t="s">
        <v>28</v>
      </c>
      <c r="G44" s="6" t="s">
        <v>27</v>
      </c>
      <c r="H44" s="6"/>
      <c r="I44" s="6">
        <f>IF(ISBLANK(A44),I43,A44)</f>
        <v>0</v>
      </c>
    </row>
    <row r="45" spans="1:9" s="17" customFormat="1" ht="16" x14ac:dyDescent="0.2">
      <c r="A45" s="13">
        <v>22</v>
      </c>
      <c r="B45" s="14" t="s">
        <v>21</v>
      </c>
      <c r="C45" s="15" t="s">
        <v>6</v>
      </c>
      <c r="D45" s="14" t="s">
        <v>20</v>
      </c>
      <c r="E45" s="21">
        <f>E41*0.8</f>
        <v>8.0530636800000064</v>
      </c>
      <c r="F45" s="17" t="s">
        <v>24</v>
      </c>
      <c r="G45" s="17" t="s">
        <v>29</v>
      </c>
    </row>
    <row r="46" spans="1:9" ht="16" x14ac:dyDescent="0.2">
      <c r="A46" s="22">
        <v>23</v>
      </c>
      <c r="B46" s="5" t="s">
        <v>42</v>
      </c>
      <c r="C46" s="9" t="s">
        <v>6</v>
      </c>
      <c r="D46" s="5" t="s">
        <v>22</v>
      </c>
      <c r="E46" s="20">
        <f>E42*1.2</f>
        <v>74.300837068799964</v>
      </c>
      <c r="F46" s="5" t="s">
        <v>45</v>
      </c>
      <c r="G46" s="5" t="s">
        <v>29</v>
      </c>
      <c r="H46" s="5"/>
      <c r="I46" s="5"/>
    </row>
    <row r="47" spans="1:9" s="3" customFormat="1" x14ac:dyDescent="0.15">
      <c r="A47" s="22"/>
      <c r="B47" s="6"/>
      <c r="C47" s="6" t="s">
        <v>6</v>
      </c>
      <c r="D47" s="6"/>
      <c r="E47" s="7">
        <v>3</v>
      </c>
      <c r="F47" s="6" t="s">
        <v>25</v>
      </c>
      <c r="G47" s="6" t="s">
        <v>26</v>
      </c>
      <c r="H47" s="6"/>
      <c r="I47" s="6">
        <f>IF(ISBLANK(A47),I46,A47)</f>
        <v>0</v>
      </c>
    </row>
    <row r="48" spans="1:9" s="3" customFormat="1" x14ac:dyDescent="0.15">
      <c r="A48" s="22"/>
      <c r="B48" s="6"/>
      <c r="C48" s="6" t="s">
        <v>6</v>
      </c>
      <c r="D48" s="6"/>
      <c r="E48" s="7">
        <v>0.8</v>
      </c>
      <c r="F48" s="6" t="s">
        <v>28</v>
      </c>
      <c r="G48" s="6" t="s">
        <v>27</v>
      </c>
      <c r="H48" s="6"/>
      <c r="I48" s="6">
        <f>IF(ISBLANK(A48),I47,A48)</f>
        <v>0</v>
      </c>
    </row>
    <row r="49" spans="1:9" s="17" customFormat="1" ht="16" x14ac:dyDescent="0.2">
      <c r="A49" s="13">
        <v>24</v>
      </c>
      <c r="B49" s="14" t="s">
        <v>22</v>
      </c>
      <c r="C49" s="15" t="s">
        <v>6</v>
      </c>
      <c r="D49" s="14" t="s">
        <v>21</v>
      </c>
      <c r="E49" s="21">
        <f>E45*0.8</f>
        <v>6.4424509440000053</v>
      </c>
      <c r="F49" s="17" t="s">
        <v>24</v>
      </c>
      <c r="G49" s="17" t="s">
        <v>29</v>
      </c>
    </row>
    <row r="50" spans="1:9" ht="16" x14ac:dyDescent="0.2">
      <c r="A50" s="22">
        <v>25</v>
      </c>
      <c r="B50" s="5" t="s">
        <v>43</v>
      </c>
      <c r="C50" s="9" t="s">
        <v>6</v>
      </c>
      <c r="D50" s="5" t="s">
        <v>23</v>
      </c>
      <c r="E50" s="20">
        <f>E46*1.2</f>
        <v>89.16100448255996</v>
      </c>
      <c r="F50" s="5" t="s">
        <v>45</v>
      </c>
      <c r="G50" s="5" t="s">
        <v>29</v>
      </c>
      <c r="H50" s="5"/>
      <c r="I50" s="5"/>
    </row>
    <row r="51" spans="1:9" s="3" customFormat="1" x14ac:dyDescent="0.15">
      <c r="A51" s="22"/>
      <c r="B51" s="6"/>
      <c r="C51" s="6" t="s">
        <v>6</v>
      </c>
      <c r="D51" s="6"/>
      <c r="E51" s="7">
        <v>3</v>
      </c>
      <c r="F51" s="6" t="s">
        <v>25</v>
      </c>
      <c r="G51" s="6" t="s">
        <v>26</v>
      </c>
      <c r="H51" s="6"/>
      <c r="I51" s="6">
        <f>IF(ISBLANK(A51),I50,A51)</f>
        <v>0</v>
      </c>
    </row>
    <row r="52" spans="1:9" s="3" customFormat="1" x14ac:dyDescent="0.15">
      <c r="A52" s="22"/>
      <c r="B52" s="6"/>
      <c r="C52" s="6" t="s">
        <v>6</v>
      </c>
      <c r="D52" s="6"/>
      <c r="E52" s="7">
        <v>0.8</v>
      </c>
      <c r="F52" s="6" t="s">
        <v>28</v>
      </c>
      <c r="G52" s="6" t="s">
        <v>27</v>
      </c>
      <c r="H52" s="6"/>
      <c r="I52" s="6">
        <f>IF(ISBLANK(A52),I51,A52)</f>
        <v>0</v>
      </c>
    </row>
    <row r="53" spans="1:9" s="17" customFormat="1" ht="16" x14ac:dyDescent="0.2">
      <c r="A53" s="13">
        <v>26</v>
      </c>
      <c r="B53" s="14" t="s">
        <v>23</v>
      </c>
      <c r="C53" s="15" t="s">
        <v>6</v>
      </c>
      <c r="D53" s="14" t="s">
        <v>22</v>
      </c>
      <c r="E53" s="21">
        <f>E49*0.8</f>
        <v>5.1539607552000044</v>
      </c>
      <c r="F53" s="17" t="s">
        <v>24</v>
      </c>
      <c r="G53" s="17" t="s">
        <v>29</v>
      </c>
    </row>
    <row r="54" spans="1:9" ht="16" x14ac:dyDescent="0.2">
      <c r="A54" s="22">
        <v>27</v>
      </c>
      <c r="B54" s="5" t="s">
        <v>44</v>
      </c>
      <c r="C54" s="9" t="s">
        <v>6</v>
      </c>
      <c r="D54" s="5" t="s">
        <v>30</v>
      </c>
      <c r="E54" s="20">
        <f>E50*1.2</f>
        <v>106.99320537907195</v>
      </c>
      <c r="F54" s="5" t="s">
        <v>45</v>
      </c>
      <c r="G54" s="5" t="s">
        <v>29</v>
      </c>
      <c r="H54" s="5"/>
      <c r="I54" s="5"/>
    </row>
    <row r="55" spans="1:9" s="3" customFormat="1" x14ac:dyDescent="0.15">
      <c r="A55" s="22"/>
      <c r="B55" s="6"/>
      <c r="C55" s="6" t="s">
        <v>6</v>
      </c>
      <c r="D55" s="6"/>
      <c r="E55" s="7">
        <v>3</v>
      </c>
      <c r="F55" s="6" t="s">
        <v>25</v>
      </c>
      <c r="G55" s="6" t="s">
        <v>26</v>
      </c>
      <c r="H55" s="6"/>
      <c r="I55" s="6">
        <f>IF(ISBLANK(A55),I54,A55)</f>
        <v>0</v>
      </c>
    </row>
    <row r="56" spans="1:9" s="3" customFormat="1" x14ac:dyDescent="0.15">
      <c r="A56" s="22"/>
      <c r="B56" s="6"/>
      <c r="C56" s="6" t="s">
        <v>6</v>
      </c>
      <c r="D56" s="6"/>
      <c r="E56" s="7">
        <v>0.8</v>
      </c>
      <c r="F56" s="6" t="s">
        <v>28</v>
      </c>
      <c r="G56" s="6" t="s">
        <v>27</v>
      </c>
      <c r="H56" s="6"/>
      <c r="I56" s="6">
        <f>IF(ISBLANK(A56),I55,A56)</f>
        <v>0</v>
      </c>
    </row>
    <row r="57" spans="1:9" s="18" customFormat="1" ht="16" x14ac:dyDescent="0.2">
      <c r="A57" s="13">
        <v>28</v>
      </c>
      <c r="B57" s="14" t="s">
        <v>30</v>
      </c>
      <c r="C57" s="15" t="s">
        <v>6</v>
      </c>
      <c r="D57" s="14" t="s">
        <v>23</v>
      </c>
      <c r="E57" s="12">
        <f>E53*0.8</f>
        <v>4.1231686041600035</v>
      </c>
      <c r="F57" s="17" t="s">
        <v>24</v>
      </c>
      <c r="G57" s="17" t="s">
        <v>29</v>
      </c>
      <c r="H57" s="17"/>
      <c r="I57" s="17"/>
    </row>
    <row r="58" spans="1:9" ht="16" x14ac:dyDescent="0.2">
      <c r="A58" s="22">
        <v>29</v>
      </c>
      <c r="B58" s="5" t="s">
        <v>61</v>
      </c>
      <c r="C58" s="9" t="s">
        <v>6</v>
      </c>
      <c r="D58" s="9" t="s">
        <v>47</v>
      </c>
      <c r="E58" s="20">
        <v>10</v>
      </c>
      <c r="F58" s="5" t="s">
        <v>45</v>
      </c>
      <c r="G58" s="5" t="s">
        <v>29</v>
      </c>
      <c r="H58" s="5"/>
      <c r="I58" s="5"/>
    </row>
    <row r="59" spans="1:9" ht="16" x14ac:dyDescent="0.2">
      <c r="A59" s="22"/>
      <c r="B59" s="6"/>
      <c r="C59" s="6" t="s">
        <v>6</v>
      </c>
      <c r="D59" s="6"/>
      <c r="E59" s="7">
        <v>3</v>
      </c>
      <c r="F59" s="6" t="s">
        <v>25</v>
      </c>
      <c r="G59" s="6" t="s">
        <v>26</v>
      </c>
      <c r="H59" s="6"/>
      <c r="I59" s="6">
        <f>IF(ISBLANK(A59),I58,A59)</f>
        <v>0</v>
      </c>
    </row>
    <row r="60" spans="1:9" ht="16" x14ac:dyDescent="0.2">
      <c r="A60" s="22"/>
      <c r="B60" s="6"/>
      <c r="C60" s="6" t="s">
        <v>6</v>
      </c>
      <c r="D60" s="6"/>
      <c r="E60" s="7">
        <v>0.8</v>
      </c>
      <c r="F60" s="6" t="s">
        <v>28</v>
      </c>
      <c r="G60" s="6" t="s">
        <v>27</v>
      </c>
      <c r="H60" s="6"/>
      <c r="I60" s="6">
        <f>IF(ISBLANK(A60),I59,A60)</f>
        <v>0</v>
      </c>
    </row>
    <row r="61" spans="1:9" ht="16" x14ac:dyDescent="0.2">
      <c r="A61" s="13">
        <v>30</v>
      </c>
      <c r="B61" s="14" t="s">
        <v>47</v>
      </c>
      <c r="C61" s="15" t="s">
        <v>6</v>
      </c>
      <c r="D61" s="16" t="s">
        <v>46</v>
      </c>
      <c r="E61" s="21">
        <v>75</v>
      </c>
      <c r="F61" s="17" t="s">
        <v>24</v>
      </c>
      <c r="G61" s="17" t="s">
        <v>29</v>
      </c>
      <c r="H61" s="17"/>
      <c r="I61" s="17"/>
    </row>
    <row r="62" spans="1:9" ht="16" x14ac:dyDescent="0.2">
      <c r="A62" s="22">
        <v>31</v>
      </c>
      <c r="B62" s="5" t="s">
        <v>62</v>
      </c>
      <c r="C62" s="9" t="s">
        <v>6</v>
      </c>
      <c r="D62" s="5" t="s">
        <v>48</v>
      </c>
      <c r="E62" s="20">
        <f>E58*1.2</f>
        <v>12</v>
      </c>
      <c r="F62" s="5" t="s">
        <v>45</v>
      </c>
      <c r="G62" s="5" t="s">
        <v>29</v>
      </c>
      <c r="H62" s="5"/>
      <c r="I62" s="5"/>
    </row>
    <row r="63" spans="1:9" ht="16" x14ac:dyDescent="0.2">
      <c r="A63" s="22"/>
      <c r="B63" s="6"/>
      <c r="C63" s="6" t="s">
        <v>6</v>
      </c>
      <c r="D63" s="6"/>
      <c r="E63" s="7">
        <v>3</v>
      </c>
      <c r="F63" s="6" t="s">
        <v>25</v>
      </c>
      <c r="G63" s="6" t="s">
        <v>26</v>
      </c>
      <c r="H63" s="6"/>
      <c r="I63" s="6">
        <f>IF(ISBLANK(A63),I62,A63)</f>
        <v>0</v>
      </c>
    </row>
    <row r="64" spans="1:9" ht="16" x14ac:dyDescent="0.2">
      <c r="A64" s="22"/>
      <c r="B64" s="6"/>
      <c r="C64" s="6" t="s">
        <v>6</v>
      </c>
      <c r="D64" s="6"/>
      <c r="E64" s="7">
        <v>0.8</v>
      </c>
      <c r="F64" s="6" t="s">
        <v>28</v>
      </c>
      <c r="G64" s="6" t="s">
        <v>27</v>
      </c>
      <c r="H64" s="6"/>
      <c r="I64" s="6">
        <f>IF(ISBLANK(A64),I63,A64)</f>
        <v>0</v>
      </c>
    </row>
    <row r="65" spans="1:9" ht="16" x14ac:dyDescent="0.2">
      <c r="A65" s="13">
        <v>32</v>
      </c>
      <c r="B65" s="14" t="s">
        <v>48</v>
      </c>
      <c r="C65" s="15" t="s">
        <v>6</v>
      </c>
      <c r="D65" s="14" t="s">
        <v>47</v>
      </c>
      <c r="E65" s="21">
        <f>E61*0.8</f>
        <v>60</v>
      </c>
      <c r="F65" s="17" t="s">
        <v>24</v>
      </c>
      <c r="G65" s="17" t="s">
        <v>29</v>
      </c>
      <c r="H65" s="17"/>
      <c r="I65" s="17"/>
    </row>
    <row r="66" spans="1:9" ht="16" x14ac:dyDescent="0.2">
      <c r="A66" s="22">
        <v>33</v>
      </c>
      <c r="B66" s="5" t="s">
        <v>63</v>
      </c>
      <c r="C66" s="9" t="s">
        <v>6</v>
      </c>
      <c r="D66" s="5" t="s">
        <v>49</v>
      </c>
      <c r="E66" s="20">
        <f>E62*1.2</f>
        <v>14.399999999999999</v>
      </c>
      <c r="F66" s="5" t="s">
        <v>45</v>
      </c>
      <c r="G66" s="5" t="s">
        <v>29</v>
      </c>
      <c r="H66" s="5"/>
      <c r="I66" s="5"/>
    </row>
    <row r="67" spans="1:9" ht="16" x14ac:dyDescent="0.2">
      <c r="A67" s="22"/>
      <c r="B67" s="6"/>
      <c r="C67" s="6" t="s">
        <v>6</v>
      </c>
      <c r="D67" s="6"/>
      <c r="E67" s="7">
        <v>3</v>
      </c>
      <c r="F67" s="6" t="s">
        <v>25</v>
      </c>
      <c r="G67" s="6" t="s">
        <v>26</v>
      </c>
      <c r="H67" s="6"/>
      <c r="I67" s="6">
        <f>IF(ISBLANK(A67),I66,A67)</f>
        <v>0</v>
      </c>
    </row>
    <row r="68" spans="1:9" ht="16" x14ac:dyDescent="0.2">
      <c r="A68" s="22"/>
      <c r="B68" s="6"/>
      <c r="C68" s="6" t="s">
        <v>6</v>
      </c>
      <c r="D68" s="6"/>
      <c r="E68" s="7">
        <v>0.8</v>
      </c>
      <c r="F68" s="6" t="s">
        <v>28</v>
      </c>
      <c r="G68" s="6" t="s">
        <v>27</v>
      </c>
      <c r="H68" s="6"/>
      <c r="I68" s="6">
        <f>IF(ISBLANK(A68),I67,A68)</f>
        <v>0</v>
      </c>
    </row>
    <row r="69" spans="1:9" ht="16" x14ac:dyDescent="0.2">
      <c r="A69" s="13">
        <v>34</v>
      </c>
      <c r="B69" s="14" t="s">
        <v>49</v>
      </c>
      <c r="C69" s="15" t="s">
        <v>6</v>
      </c>
      <c r="D69" s="14" t="s">
        <v>48</v>
      </c>
      <c r="E69" s="21">
        <f>E65*0.8</f>
        <v>48</v>
      </c>
      <c r="F69" s="17" t="s">
        <v>24</v>
      </c>
      <c r="G69" s="17" t="s">
        <v>29</v>
      </c>
      <c r="H69" s="17"/>
      <c r="I69" s="17"/>
    </row>
    <row r="70" spans="1:9" ht="16" x14ac:dyDescent="0.2">
      <c r="A70" s="22">
        <v>35</v>
      </c>
      <c r="B70" s="5" t="s">
        <v>64</v>
      </c>
      <c r="C70" s="9" t="s">
        <v>6</v>
      </c>
      <c r="D70" s="5" t="s">
        <v>50</v>
      </c>
      <c r="E70" s="20">
        <f>E66*1.2</f>
        <v>17.279999999999998</v>
      </c>
      <c r="F70" s="5" t="s">
        <v>45</v>
      </c>
      <c r="G70" s="5" t="s">
        <v>29</v>
      </c>
      <c r="H70" s="5"/>
      <c r="I70" s="5"/>
    </row>
    <row r="71" spans="1:9" ht="16" x14ac:dyDescent="0.2">
      <c r="A71" s="22"/>
      <c r="B71" s="6"/>
      <c r="C71" s="6" t="s">
        <v>6</v>
      </c>
      <c r="D71" s="6"/>
      <c r="E71" s="7">
        <v>3</v>
      </c>
      <c r="F71" s="6" t="s">
        <v>25</v>
      </c>
      <c r="G71" s="6" t="s">
        <v>26</v>
      </c>
      <c r="H71" s="6"/>
      <c r="I71" s="6">
        <f>IF(ISBLANK(A71),I70,A71)</f>
        <v>0</v>
      </c>
    </row>
    <row r="72" spans="1:9" ht="16" x14ac:dyDescent="0.2">
      <c r="A72" s="22"/>
      <c r="B72" s="6"/>
      <c r="C72" s="6" t="s">
        <v>6</v>
      </c>
      <c r="D72" s="6"/>
      <c r="E72" s="7">
        <v>0.8</v>
      </c>
      <c r="F72" s="6" t="s">
        <v>28</v>
      </c>
      <c r="G72" s="6" t="s">
        <v>27</v>
      </c>
      <c r="H72" s="6"/>
      <c r="I72" s="6">
        <f>IF(ISBLANK(A72),I71,A72)</f>
        <v>0</v>
      </c>
    </row>
    <row r="73" spans="1:9" ht="16" x14ac:dyDescent="0.2">
      <c r="A73" s="13">
        <v>36</v>
      </c>
      <c r="B73" s="14" t="s">
        <v>50</v>
      </c>
      <c r="C73" s="15" t="s">
        <v>6</v>
      </c>
      <c r="D73" s="14" t="s">
        <v>49</v>
      </c>
      <c r="E73" s="21">
        <f>E69*0.8</f>
        <v>38.400000000000006</v>
      </c>
      <c r="F73" s="17" t="s">
        <v>24</v>
      </c>
      <c r="G73" s="17" t="s">
        <v>29</v>
      </c>
      <c r="H73" s="17"/>
      <c r="I73" s="17"/>
    </row>
    <row r="74" spans="1:9" ht="16" x14ac:dyDescent="0.2">
      <c r="A74" s="22">
        <v>37</v>
      </c>
      <c r="B74" s="5" t="s">
        <v>65</v>
      </c>
      <c r="C74" s="9" t="s">
        <v>6</v>
      </c>
      <c r="D74" s="5" t="s">
        <v>51</v>
      </c>
      <c r="E74" s="20">
        <f>E70*1.2</f>
        <v>20.735999999999997</v>
      </c>
      <c r="F74" s="5" t="s">
        <v>45</v>
      </c>
      <c r="G74" s="5" t="s">
        <v>29</v>
      </c>
      <c r="H74" s="5"/>
      <c r="I74" s="5"/>
    </row>
    <row r="75" spans="1:9" ht="16" x14ac:dyDescent="0.2">
      <c r="A75" s="22"/>
      <c r="B75" s="6"/>
      <c r="C75" s="6" t="s">
        <v>6</v>
      </c>
      <c r="D75" s="6"/>
      <c r="E75" s="7">
        <v>3</v>
      </c>
      <c r="F75" s="6" t="s">
        <v>25</v>
      </c>
      <c r="G75" s="6" t="s">
        <v>26</v>
      </c>
      <c r="H75" s="6"/>
      <c r="I75" s="6">
        <f>IF(ISBLANK(A75),I74,A75)</f>
        <v>0</v>
      </c>
    </row>
    <row r="76" spans="1:9" ht="16" x14ac:dyDescent="0.2">
      <c r="A76" s="22"/>
      <c r="B76" s="6"/>
      <c r="C76" s="6" t="s">
        <v>6</v>
      </c>
      <c r="D76" s="6"/>
      <c r="E76" s="7">
        <v>0.8</v>
      </c>
      <c r="F76" s="6" t="s">
        <v>28</v>
      </c>
      <c r="G76" s="6" t="s">
        <v>27</v>
      </c>
      <c r="H76" s="6"/>
      <c r="I76" s="6">
        <f>IF(ISBLANK(A76),I75,A76)</f>
        <v>0</v>
      </c>
    </row>
    <row r="77" spans="1:9" ht="16" x14ac:dyDescent="0.2">
      <c r="A77" s="13">
        <v>38</v>
      </c>
      <c r="B77" s="14" t="s">
        <v>51</v>
      </c>
      <c r="C77" s="15" t="s">
        <v>6</v>
      </c>
      <c r="D77" s="14" t="s">
        <v>50</v>
      </c>
      <c r="E77" s="21">
        <f>E73*0.8</f>
        <v>30.720000000000006</v>
      </c>
      <c r="F77" s="17" t="s">
        <v>24</v>
      </c>
      <c r="G77" s="17" t="s">
        <v>29</v>
      </c>
      <c r="H77" s="17"/>
      <c r="I77" s="17"/>
    </row>
    <row r="78" spans="1:9" ht="16" x14ac:dyDescent="0.2">
      <c r="A78" s="22">
        <v>39</v>
      </c>
      <c r="B78" s="5" t="s">
        <v>66</v>
      </c>
      <c r="C78" s="9" t="s">
        <v>6</v>
      </c>
      <c r="D78" s="5" t="s">
        <v>52</v>
      </c>
      <c r="E78" s="20">
        <f>E74*1.2</f>
        <v>24.883199999999995</v>
      </c>
      <c r="F78" s="5" t="s">
        <v>45</v>
      </c>
      <c r="G78" s="5" t="s">
        <v>29</v>
      </c>
      <c r="H78" s="5"/>
      <c r="I78" s="5"/>
    </row>
    <row r="79" spans="1:9" ht="16" x14ac:dyDescent="0.2">
      <c r="A79" s="22"/>
      <c r="B79" s="6"/>
      <c r="C79" s="6" t="s">
        <v>6</v>
      </c>
      <c r="D79" s="6"/>
      <c r="E79" s="7">
        <v>3</v>
      </c>
      <c r="F79" s="6" t="s">
        <v>25</v>
      </c>
      <c r="G79" s="6" t="s">
        <v>26</v>
      </c>
      <c r="H79" s="6"/>
      <c r="I79" s="6">
        <f>IF(ISBLANK(A79),I78,A79)</f>
        <v>0</v>
      </c>
    </row>
    <row r="80" spans="1:9" ht="16" x14ac:dyDescent="0.2">
      <c r="A80" s="22"/>
      <c r="B80" s="6"/>
      <c r="C80" s="6" t="s">
        <v>6</v>
      </c>
      <c r="D80" s="6"/>
      <c r="E80" s="7">
        <v>0.8</v>
      </c>
      <c r="F80" s="6" t="s">
        <v>28</v>
      </c>
      <c r="G80" s="6" t="s">
        <v>27</v>
      </c>
      <c r="H80" s="6"/>
      <c r="I80" s="6">
        <f>IF(ISBLANK(A80),I79,A80)</f>
        <v>0</v>
      </c>
    </row>
    <row r="81" spans="1:9" ht="16" x14ac:dyDescent="0.2">
      <c r="A81" s="13">
        <v>40</v>
      </c>
      <c r="B81" s="14" t="s">
        <v>52</v>
      </c>
      <c r="C81" s="15" t="s">
        <v>6</v>
      </c>
      <c r="D81" s="14" t="s">
        <v>51</v>
      </c>
      <c r="E81" s="21">
        <f>E77*0.8</f>
        <v>24.576000000000008</v>
      </c>
      <c r="F81" s="17" t="s">
        <v>24</v>
      </c>
      <c r="G81" s="17" t="s">
        <v>29</v>
      </c>
      <c r="H81" s="17"/>
      <c r="I81" s="17"/>
    </row>
    <row r="82" spans="1:9" ht="16" x14ac:dyDescent="0.2">
      <c r="A82" s="22">
        <v>41</v>
      </c>
      <c r="B82" s="5" t="s">
        <v>67</v>
      </c>
      <c r="C82" s="9" t="s">
        <v>6</v>
      </c>
      <c r="D82" s="5" t="s">
        <v>53</v>
      </c>
      <c r="E82" s="20">
        <f>E78*1.2</f>
        <v>29.859839999999991</v>
      </c>
      <c r="F82" s="5" t="s">
        <v>45</v>
      </c>
      <c r="G82" s="5" t="s">
        <v>29</v>
      </c>
      <c r="H82" s="5"/>
      <c r="I82" s="5"/>
    </row>
    <row r="83" spans="1:9" ht="16" x14ac:dyDescent="0.2">
      <c r="A83" s="22"/>
      <c r="B83" s="6"/>
      <c r="C83" s="6" t="s">
        <v>6</v>
      </c>
      <c r="D83" s="6"/>
      <c r="E83" s="7">
        <v>3</v>
      </c>
      <c r="F83" s="6" t="s">
        <v>25</v>
      </c>
      <c r="G83" s="6" t="s">
        <v>26</v>
      </c>
      <c r="H83" s="6"/>
      <c r="I83" s="6">
        <f>IF(ISBLANK(A83),I82,A83)</f>
        <v>0</v>
      </c>
    </row>
    <row r="84" spans="1:9" ht="16" x14ac:dyDescent="0.2">
      <c r="A84" s="22"/>
      <c r="B84" s="6"/>
      <c r="C84" s="6" t="s">
        <v>6</v>
      </c>
      <c r="D84" s="6"/>
      <c r="E84" s="7">
        <v>0.8</v>
      </c>
      <c r="F84" s="6" t="s">
        <v>28</v>
      </c>
      <c r="G84" s="6" t="s">
        <v>27</v>
      </c>
      <c r="H84" s="6"/>
      <c r="I84" s="6">
        <f>IF(ISBLANK(A84),I83,A84)</f>
        <v>0</v>
      </c>
    </row>
    <row r="85" spans="1:9" ht="16" x14ac:dyDescent="0.2">
      <c r="A85" s="13">
        <v>42</v>
      </c>
      <c r="B85" s="14" t="s">
        <v>53</v>
      </c>
      <c r="C85" s="15" t="s">
        <v>6</v>
      </c>
      <c r="D85" s="14" t="s">
        <v>52</v>
      </c>
      <c r="E85" s="21">
        <f>E81*0.8</f>
        <v>19.660800000000009</v>
      </c>
      <c r="F85" s="17" t="s">
        <v>24</v>
      </c>
      <c r="G85" s="17" t="s">
        <v>29</v>
      </c>
      <c r="H85" s="17"/>
      <c r="I85" s="17"/>
    </row>
    <row r="86" spans="1:9" ht="16" x14ac:dyDescent="0.2">
      <c r="A86" s="22">
        <v>43</v>
      </c>
      <c r="B86" s="5" t="s">
        <v>68</v>
      </c>
      <c r="C86" s="9" t="s">
        <v>6</v>
      </c>
      <c r="D86" s="5" t="s">
        <v>54</v>
      </c>
      <c r="E86" s="20">
        <f>E82*1.2</f>
        <v>35.831807999999988</v>
      </c>
      <c r="F86" s="5" t="s">
        <v>45</v>
      </c>
      <c r="G86" s="5" t="s">
        <v>29</v>
      </c>
      <c r="H86" s="5"/>
      <c r="I86" s="5"/>
    </row>
    <row r="87" spans="1:9" ht="16" x14ac:dyDescent="0.2">
      <c r="A87" s="22"/>
      <c r="B87" s="6"/>
      <c r="C87" s="6" t="s">
        <v>6</v>
      </c>
      <c r="D87" s="6"/>
      <c r="E87" s="7">
        <v>3</v>
      </c>
      <c r="F87" s="6" t="s">
        <v>25</v>
      </c>
      <c r="G87" s="6" t="s">
        <v>26</v>
      </c>
      <c r="H87" s="6"/>
      <c r="I87" s="6">
        <f>IF(ISBLANK(A87),I86,A87)</f>
        <v>0</v>
      </c>
    </row>
    <row r="88" spans="1:9" ht="16" x14ac:dyDescent="0.2">
      <c r="A88" s="22"/>
      <c r="B88" s="6"/>
      <c r="C88" s="6" t="s">
        <v>6</v>
      </c>
      <c r="D88" s="6"/>
      <c r="E88" s="7">
        <v>0.8</v>
      </c>
      <c r="F88" s="6" t="s">
        <v>28</v>
      </c>
      <c r="G88" s="6" t="s">
        <v>27</v>
      </c>
      <c r="H88" s="6"/>
      <c r="I88" s="6">
        <f>IF(ISBLANK(A88),I87,A88)</f>
        <v>0</v>
      </c>
    </row>
    <row r="89" spans="1:9" ht="16" x14ac:dyDescent="0.2">
      <c r="A89" s="13">
        <v>44</v>
      </c>
      <c r="B89" s="14" t="s">
        <v>54</v>
      </c>
      <c r="C89" s="15" t="s">
        <v>6</v>
      </c>
      <c r="D89" s="14" t="s">
        <v>53</v>
      </c>
      <c r="E89" s="21">
        <f>E85*0.8</f>
        <v>15.728640000000008</v>
      </c>
      <c r="F89" s="17" t="s">
        <v>24</v>
      </c>
      <c r="G89" s="17" t="s">
        <v>29</v>
      </c>
      <c r="H89" s="17"/>
      <c r="I89" s="17"/>
    </row>
    <row r="90" spans="1:9" ht="16" x14ac:dyDescent="0.2">
      <c r="A90" s="22">
        <v>45</v>
      </c>
      <c r="B90" s="5" t="s">
        <v>69</v>
      </c>
      <c r="C90" s="9" t="s">
        <v>6</v>
      </c>
      <c r="D90" s="5" t="s">
        <v>55</v>
      </c>
      <c r="E90" s="20">
        <f>E86*1.2</f>
        <v>42.998169599999983</v>
      </c>
      <c r="F90" s="5" t="s">
        <v>45</v>
      </c>
      <c r="G90" s="5" t="s">
        <v>29</v>
      </c>
      <c r="H90" s="5"/>
      <c r="I90" s="5"/>
    </row>
    <row r="91" spans="1:9" ht="16" x14ac:dyDescent="0.2">
      <c r="A91" s="22"/>
      <c r="B91" s="6"/>
      <c r="C91" s="6" t="s">
        <v>6</v>
      </c>
      <c r="D91" s="6"/>
      <c r="E91" s="7">
        <v>3</v>
      </c>
      <c r="F91" s="6" t="s">
        <v>25</v>
      </c>
      <c r="G91" s="6" t="s">
        <v>26</v>
      </c>
      <c r="H91" s="6"/>
      <c r="I91" s="6">
        <f>IF(ISBLANK(A91),I90,A91)</f>
        <v>0</v>
      </c>
    </row>
    <row r="92" spans="1:9" ht="16" x14ac:dyDescent="0.2">
      <c r="A92" s="22"/>
      <c r="B92" s="6"/>
      <c r="C92" s="6" t="s">
        <v>6</v>
      </c>
      <c r="D92" s="6"/>
      <c r="E92" s="7">
        <v>0.8</v>
      </c>
      <c r="F92" s="6" t="s">
        <v>28</v>
      </c>
      <c r="G92" s="6" t="s">
        <v>27</v>
      </c>
      <c r="H92" s="6"/>
      <c r="I92" s="6">
        <f>IF(ISBLANK(A92),I91,A92)</f>
        <v>0</v>
      </c>
    </row>
    <row r="93" spans="1:9" ht="16" x14ac:dyDescent="0.2">
      <c r="A93" s="13">
        <v>46</v>
      </c>
      <c r="B93" s="14" t="s">
        <v>55</v>
      </c>
      <c r="C93" s="15" t="s">
        <v>6</v>
      </c>
      <c r="D93" s="14" t="s">
        <v>54</v>
      </c>
      <c r="E93" s="21">
        <f>E89*0.8</f>
        <v>12.582912000000007</v>
      </c>
      <c r="F93" s="17" t="s">
        <v>24</v>
      </c>
      <c r="G93" s="17" t="s">
        <v>29</v>
      </c>
      <c r="H93" s="17"/>
      <c r="I93" s="17"/>
    </row>
    <row r="94" spans="1:9" ht="16" x14ac:dyDescent="0.2">
      <c r="A94" s="22">
        <v>47</v>
      </c>
      <c r="B94" s="5" t="s">
        <v>70</v>
      </c>
      <c r="C94" s="9" t="s">
        <v>6</v>
      </c>
      <c r="D94" s="5" t="s">
        <v>56</v>
      </c>
      <c r="E94" s="20">
        <f>E90*1.2</f>
        <v>51.597803519999978</v>
      </c>
      <c r="F94" s="5" t="s">
        <v>45</v>
      </c>
      <c r="G94" s="5" t="s">
        <v>29</v>
      </c>
      <c r="H94" s="5"/>
      <c r="I94" s="5"/>
    </row>
    <row r="95" spans="1:9" ht="16" x14ac:dyDescent="0.2">
      <c r="A95" s="22"/>
      <c r="B95" s="6"/>
      <c r="C95" s="6" t="s">
        <v>6</v>
      </c>
      <c r="D95" s="6"/>
      <c r="E95" s="7">
        <v>3</v>
      </c>
      <c r="F95" s="6" t="s">
        <v>25</v>
      </c>
      <c r="G95" s="6" t="s">
        <v>26</v>
      </c>
      <c r="H95" s="6"/>
      <c r="I95" s="6">
        <f>IF(ISBLANK(A95),I94,A95)</f>
        <v>0</v>
      </c>
    </row>
    <row r="96" spans="1:9" ht="16" x14ac:dyDescent="0.2">
      <c r="A96" s="22"/>
      <c r="B96" s="6"/>
      <c r="C96" s="6" t="s">
        <v>6</v>
      </c>
      <c r="D96" s="6"/>
      <c r="E96" s="7">
        <v>0.8</v>
      </c>
      <c r="F96" s="6" t="s">
        <v>28</v>
      </c>
      <c r="G96" s="6" t="s">
        <v>27</v>
      </c>
      <c r="H96" s="6"/>
      <c r="I96" s="6">
        <f>IF(ISBLANK(A96),I95,A96)</f>
        <v>0</v>
      </c>
    </row>
    <row r="97" spans="1:9" ht="16" x14ac:dyDescent="0.2">
      <c r="A97" s="13">
        <v>48</v>
      </c>
      <c r="B97" s="14" t="s">
        <v>56</v>
      </c>
      <c r="C97" s="15" t="s">
        <v>6</v>
      </c>
      <c r="D97" s="14" t="s">
        <v>55</v>
      </c>
      <c r="E97" s="21">
        <f>E93*0.8</f>
        <v>10.066329600000007</v>
      </c>
      <c r="F97" s="17" t="s">
        <v>24</v>
      </c>
      <c r="G97" s="17" t="s">
        <v>29</v>
      </c>
      <c r="H97" s="17"/>
      <c r="I97" s="17"/>
    </row>
    <row r="98" spans="1:9" ht="16" x14ac:dyDescent="0.2">
      <c r="A98" s="22">
        <v>49</v>
      </c>
      <c r="B98" s="5" t="s">
        <v>71</v>
      </c>
      <c r="C98" s="9" t="s">
        <v>6</v>
      </c>
      <c r="D98" s="5" t="s">
        <v>57</v>
      </c>
      <c r="E98" s="20">
        <f>E94*1.2</f>
        <v>61.917364223999968</v>
      </c>
      <c r="F98" s="5" t="s">
        <v>45</v>
      </c>
      <c r="G98" s="5" t="s">
        <v>29</v>
      </c>
      <c r="H98" s="5"/>
      <c r="I98" s="5"/>
    </row>
    <row r="99" spans="1:9" ht="16" x14ac:dyDescent="0.2">
      <c r="A99" s="22"/>
      <c r="B99" s="6"/>
      <c r="C99" s="6" t="s">
        <v>6</v>
      </c>
      <c r="D99" s="6"/>
      <c r="E99" s="7">
        <v>3</v>
      </c>
      <c r="F99" s="6" t="s">
        <v>25</v>
      </c>
      <c r="G99" s="6" t="s">
        <v>26</v>
      </c>
      <c r="H99" s="6"/>
      <c r="I99" s="6">
        <f>IF(ISBLANK(A99),I98,A99)</f>
        <v>0</v>
      </c>
    </row>
    <row r="100" spans="1:9" ht="16" x14ac:dyDescent="0.2">
      <c r="A100" s="22"/>
      <c r="B100" s="6"/>
      <c r="C100" s="6" t="s">
        <v>6</v>
      </c>
      <c r="D100" s="6"/>
      <c r="E100" s="7">
        <v>0.8</v>
      </c>
      <c r="F100" s="6" t="s">
        <v>28</v>
      </c>
      <c r="G100" s="6" t="s">
        <v>27</v>
      </c>
      <c r="H100" s="6"/>
      <c r="I100" s="6">
        <f>IF(ISBLANK(A100),I99,A100)</f>
        <v>0</v>
      </c>
    </row>
    <row r="101" spans="1:9" ht="16" x14ac:dyDescent="0.2">
      <c r="A101" s="13">
        <v>50</v>
      </c>
      <c r="B101" s="14" t="s">
        <v>57</v>
      </c>
      <c r="C101" s="15" t="s">
        <v>6</v>
      </c>
      <c r="D101" s="14" t="s">
        <v>56</v>
      </c>
      <c r="E101" s="21">
        <f>E97*0.8</f>
        <v>8.0530636800000064</v>
      </c>
      <c r="F101" s="17" t="s">
        <v>24</v>
      </c>
      <c r="G101" s="17" t="s">
        <v>29</v>
      </c>
      <c r="H101" s="17"/>
      <c r="I101" s="17"/>
    </row>
    <row r="102" spans="1:9" ht="16" x14ac:dyDescent="0.2">
      <c r="A102" s="22">
        <v>51</v>
      </c>
      <c r="B102" s="5" t="s">
        <v>72</v>
      </c>
      <c r="C102" s="9" t="s">
        <v>6</v>
      </c>
      <c r="D102" s="5" t="s">
        <v>58</v>
      </c>
      <c r="E102" s="20">
        <f>E98*1.2</f>
        <v>74.300837068799964</v>
      </c>
      <c r="F102" s="5" t="s">
        <v>45</v>
      </c>
      <c r="G102" s="5" t="s">
        <v>29</v>
      </c>
      <c r="H102" s="5"/>
      <c r="I102" s="5"/>
    </row>
    <row r="103" spans="1:9" ht="16" x14ac:dyDescent="0.2">
      <c r="A103" s="22"/>
      <c r="B103" s="6"/>
      <c r="C103" s="6" t="s">
        <v>6</v>
      </c>
      <c r="D103" s="6"/>
      <c r="E103" s="7">
        <v>3</v>
      </c>
      <c r="F103" s="6" t="s">
        <v>25</v>
      </c>
      <c r="G103" s="6" t="s">
        <v>26</v>
      </c>
      <c r="H103" s="6"/>
      <c r="I103" s="6">
        <f>IF(ISBLANK(A103),I102,A103)</f>
        <v>0</v>
      </c>
    </row>
    <row r="104" spans="1:9" ht="16" x14ac:dyDescent="0.2">
      <c r="A104" s="22"/>
      <c r="B104" s="6"/>
      <c r="C104" s="6" t="s">
        <v>6</v>
      </c>
      <c r="D104" s="6"/>
      <c r="E104" s="7">
        <v>0.8</v>
      </c>
      <c r="F104" s="6" t="s">
        <v>28</v>
      </c>
      <c r="G104" s="6" t="s">
        <v>27</v>
      </c>
      <c r="H104" s="6"/>
      <c r="I104" s="6">
        <f>IF(ISBLANK(A104),I103,A104)</f>
        <v>0</v>
      </c>
    </row>
    <row r="105" spans="1:9" ht="16" x14ac:dyDescent="0.2">
      <c r="A105" s="13">
        <v>52</v>
      </c>
      <c r="B105" s="14" t="s">
        <v>58</v>
      </c>
      <c r="C105" s="15" t="s">
        <v>6</v>
      </c>
      <c r="D105" s="14" t="s">
        <v>57</v>
      </c>
      <c r="E105" s="21">
        <f>E101*0.8</f>
        <v>6.4424509440000053</v>
      </c>
      <c r="F105" s="17" t="s">
        <v>24</v>
      </c>
      <c r="G105" s="17" t="s">
        <v>29</v>
      </c>
      <c r="H105" s="17"/>
      <c r="I105" s="17"/>
    </row>
    <row r="106" spans="1:9" ht="16" x14ac:dyDescent="0.2">
      <c r="A106" s="22">
        <v>53</v>
      </c>
      <c r="B106" s="5" t="s">
        <v>73</v>
      </c>
      <c r="C106" s="9" t="s">
        <v>6</v>
      </c>
      <c r="D106" s="5" t="s">
        <v>59</v>
      </c>
      <c r="E106" s="20">
        <f>E102*1.2</f>
        <v>89.16100448255996</v>
      </c>
      <c r="F106" s="5" t="s">
        <v>45</v>
      </c>
      <c r="G106" s="5" t="s">
        <v>29</v>
      </c>
      <c r="H106" s="5"/>
      <c r="I106" s="5"/>
    </row>
    <row r="107" spans="1:9" ht="16" x14ac:dyDescent="0.2">
      <c r="A107" s="22"/>
      <c r="B107" s="6"/>
      <c r="C107" s="6" t="s">
        <v>6</v>
      </c>
      <c r="D107" s="6"/>
      <c r="E107" s="7">
        <v>3</v>
      </c>
      <c r="F107" s="6" t="s">
        <v>25</v>
      </c>
      <c r="G107" s="6" t="s">
        <v>26</v>
      </c>
      <c r="H107" s="6"/>
      <c r="I107" s="6">
        <f>IF(ISBLANK(A107),I106,A107)</f>
        <v>0</v>
      </c>
    </row>
    <row r="108" spans="1:9" ht="16" x14ac:dyDescent="0.2">
      <c r="A108" s="22"/>
      <c r="B108" s="6"/>
      <c r="C108" s="6" t="s">
        <v>6</v>
      </c>
      <c r="D108" s="6"/>
      <c r="E108" s="7">
        <v>0.8</v>
      </c>
      <c r="F108" s="6" t="s">
        <v>28</v>
      </c>
      <c r="G108" s="6" t="s">
        <v>27</v>
      </c>
      <c r="H108" s="6"/>
      <c r="I108" s="6">
        <f>IF(ISBLANK(A108),I107,A108)</f>
        <v>0</v>
      </c>
    </row>
    <row r="109" spans="1:9" ht="16" x14ac:dyDescent="0.2">
      <c r="A109" s="13">
        <v>54</v>
      </c>
      <c r="B109" s="14" t="s">
        <v>59</v>
      </c>
      <c r="C109" s="15" t="s">
        <v>6</v>
      </c>
      <c r="D109" s="14" t="s">
        <v>58</v>
      </c>
      <c r="E109" s="21">
        <f>E105*0.8</f>
        <v>5.1539607552000044</v>
      </c>
      <c r="F109" s="17" t="s">
        <v>24</v>
      </c>
      <c r="G109" s="17" t="s">
        <v>29</v>
      </c>
      <c r="H109" s="17"/>
      <c r="I109" s="17"/>
    </row>
    <row r="110" spans="1:9" ht="16" x14ac:dyDescent="0.2">
      <c r="A110" s="22">
        <v>55</v>
      </c>
      <c r="B110" s="5" t="s">
        <v>74</v>
      </c>
      <c r="C110" s="9" t="s">
        <v>6</v>
      </c>
      <c r="D110" s="5" t="s">
        <v>60</v>
      </c>
      <c r="E110" s="20">
        <f>E106*1.2</f>
        <v>106.99320537907195</v>
      </c>
      <c r="F110" s="5" t="s">
        <v>45</v>
      </c>
      <c r="G110" s="5" t="s">
        <v>29</v>
      </c>
      <c r="H110" s="5"/>
      <c r="I110" s="5"/>
    </row>
    <row r="111" spans="1:9" ht="16" x14ac:dyDescent="0.2">
      <c r="A111" s="22"/>
      <c r="B111" s="6"/>
      <c r="C111" s="6" t="s">
        <v>6</v>
      </c>
      <c r="D111" s="6"/>
      <c r="E111" s="7">
        <v>3</v>
      </c>
      <c r="F111" s="6" t="s">
        <v>25</v>
      </c>
      <c r="G111" s="6" t="s">
        <v>26</v>
      </c>
      <c r="H111" s="6"/>
      <c r="I111" s="6">
        <f>IF(ISBLANK(A111),I110,A111)</f>
        <v>0</v>
      </c>
    </row>
    <row r="112" spans="1:9" ht="16" x14ac:dyDescent="0.2">
      <c r="A112" s="22"/>
      <c r="B112" s="6"/>
      <c r="C112" s="6" t="s">
        <v>6</v>
      </c>
      <c r="D112" s="6"/>
      <c r="E112" s="7">
        <v>0.8</v>
      </c>
      <c r="F112" s="6" t="s">
        <v>28</v>
      </c>
      <c r="G112" s="6" t="s">
        <v>27</v>
      </c>
      <c r="H112" s="6"/>
      <c r="I112" s="6">
        <f>IF(ISBLANK(A112),I111,A112)</f>
        <v>0</v>
      </c>
    </row>
    <row r="113" spans="1:9" s="18" customFormat="1" ht="16" x14ac:dyDescent="0.2">
      <c r="A113" s="13">
        <v>56</v>
      </c>
      <c r="B113" s="14" t="s">
        <v>60</v>
      </c>
      <c r="C113" s="15" t="s">
        <v>6</v>
      </c>
      <c r="D113" s="14" t="s">
        <v>59</v>
      </c>
      <c r="E113" s="12">
        <f>E109*0.8</f>
        <v>4.1231686041600035</v>
      </c>
      <c r="F113" s="17" t="s">
        <v>24</v>
      </c>
      <c r="G113" s="17" t="s">
        <v>29</v>
      </c>
      <c r="H113" s="17"/>
      <c r="I113" s="17"/>
    </row>
    <row r="114" spans="1:9" ht="16" x14ac:dyDescent="0.2">
      <c r="A114" s="13">
        <v>57</v>
      </c>
      <c r="B114" t="s">
        <v>10</v>
      </c>
      <c r="C114" s="6" t="s">
        <v>6</v>
      </c>
      <c r="D114" t="s">
        <v>46</v>
      </c>
      <c r="E114" s="24">
        <v>0.01</v>
      </c>
      <c r="F114" t="s">
        <v>24</v>
      </c>
      <c r="G114" s="23" t="s">
        <v>75</v>
      </c>
    </row>
    <row r="115" spans="1:9" ht="16" x14ac:dyDescent="0.2">
      <c r="A115" s="13">
        <v>58</v>
      </c>
      <c r="B115" t="s">
        <v>11</v>
      </c>
      <c r="C115" s="6" t="s">
        <v>6</v>
      </c>
      <c r="D115" t="s">
        <v>47</v>
      </c>
      <c r="E115" s="24">
        <v>0.01</v>
      </c>
      <c r="F115" t="s">
        <v>24</v>
      </c>
      <c r="G115" s="23" t="s">
        <v>75</v>
      </c>
    </row>
    <row r="116" spans="1:9" ht="16" x14ac:dyDescent="0.2">
      <c r="A116" s="13">
        <v>59</v>
      </c>
      <c r="B116" t="s">
        <v>12</v>
      </c>
      <c r="C116" s="6" t="s">
        <v>6</v>
      </c>
      <c r="D116" t="s">
        <v>48</v>
      </c>
      <c r="E116" s="24">
        <v>0.01</v>
      </c>
      <c r="F116" t="s">
        <v>24</v>
      </c>
      <c r="G116" s="23" t="s">
        <v>75</v>
      </c>
    </row>
    <row r="117" spans="1:9" ht="16" x14ac:dyDescent="0.2">
      <c r="A117" s="13">
        <v>60</v>
      </c>
      <c r="B117" t="s">
        <v>13</v>
      </c>
      <c r="C117" s="6" t="s">
        <v>6</v>
      </c>
      <c r="D117" t="s">
        <v>49</v>
      </c>
      <c r="E117" s="24">
        <v>0.01</v>
      </c>
      <c r="F117" t="s">
        <v>24</v>
      </c>
      <c r="G117" s="23" t="s">
        <v>75</v>
      </c>
    </row>
    <row r="118" spans="1:9" ht="16" x14ac:dyDescent="0.2">
      <c r="A118" s="13">
        <v>61</v>
      </c>
      <c r="B118" t="s">
        <v>14</v>
      </c>
      <c r="C118" s="6" t="s">
        <v>6</v>
      </c>
      <c r="D118" t="s">
        <v>50</v>
      </c>
      <c r="E118" s="24">
        <v>0.01</v>
      </c>
      <c r="F118" t="s">
        <v>24</v>
      </c>
      <c r="G118" s="23" t="s">
        <v>75</v>
      </c>
    </row>
    <row r="119" spans="1:9" ht="16" x14ac:dyDescent="0.2">
      <c r="A119" s="13">
        <v>62</v>
      </c>
      <c r="B119" t="s">
        <v>15</v>
      </c>
      <c r="C119" s="6" t="s">
        <v>6</v>
      </c>
      <c r="D119" t="s">
        <v>51</v>
      </c>
      <c r="E119" s="24">
        <v>0.01</v>
      </c>
      <c r="F119" t="s">
        <v>24</v>
      </c>
      <c r="G119" s="23" t="s">
        <v>75</v>
      </c>
    </row>
    <row r="120" spans="1:9" ht="16" x14ac:dyDescent="0.2">
      <c r="A120" s="13">
        <v>63</v>
      </c>
      <c r="B120" t="s">
        <v>16</v>
      </c>
      <c r="C120" s="6" t="s">
        <v>6</v>
      </c>
      <c r="D120" t="s">
        <v>52</v>
      </c>
      <c r="E120" s="24">
        <v>0.01</v>
      </c>
      <c r="F120" t="s">
        <v>24</v>
      </c>
      <c r="G120" s="23" t="s">
        <v>75</v>
      </c>
    </row>
    <row r="121" spans="1:9" ht="16" x14ac:dyDescent="0.2">
      <c r="A121" s="13">
        <v>64</v>
      </c>
      <c r="B121" t="s">
        <v>17</v>
      </c>
      <c r="C121" s="6" t="s">
        <v>6</v>
      </c>
      <c r="D121" t="s">
        <v>53</v>
      </c>
      <c r="E121" s="24">
        <v>0.01</v>
      </c>
      <c r="F121" t="s">
        <v>24</v>
      </c>
      <c r="G121" s="23" t="s">
        <v>75</v>
      </c>
    </row>
    <row r="122" spans="1:9" ht="16" x14ac:dyDescent="0.2">
      <c r="A122" s="13">
        <v>65</v>
      </c>
      <c r="B122" t="s">
        <v>18</v>
      </c>
      <c r="C122" s="6" t="s">
        <v>6</v>
      </c>
      <c r="D122" t="s">
        <v>54</v>
      </c>
      <c r="E122" s="24">
        <v>0.01</v>
      </c>
      <c r="F122" t="s">
        <v>24</v>
      </c>
      <c r="G122" s="23" t="s">
        <v>75</v>
      </c>
    </row>
    <row r="123" spans="1:9" ht="16" x14ac:dyDescent="0.2">
      <c r="A123" s="13">
        <v>66</v>
      </c>
      <c r="B123" t="s">
        <v>19</v>
      </c>
      <c r="C123" s="6" t="s">
        <v>6</v>
      </c>
      <c r="D123" t="s">
        <v>55</v>
      </c>
      <c r="E123" s="24">
        <v>0.01</v>
      </c>
      <c r="F123" t="s">
        <v>24</v>
      </c>
      <c r="G123" s="23" t="s">
        <v>75</v>
      </c>
    </row>
    <row r="124" spans="1:9" ht="16" x14ac:dyDescent="0.2">
      <c r="A124" s="13">
        <v>67</v>
      </c>
      <c r="B124" t="s">
        <v>20</v>
      </c>
      <c r="C124" s="6" t="s">
        <v>6</v>
      </c>
      <c r="D124" t="s">
        <v>56</v>
      </c>
      <c r="E124" s="24">
        <v>0.01</v>
      </c>
      <c r="F124" t="s">
        <v>24</v>
      </c>
      <c r="G124" s="23" t="s">
        <v>75</v>
      </c>
    </row>
    <row r="125" spans="1:9" ht="16" x14ac:dyDescent="0.2">
      <c r="A125" s="13">
        <v>68</v>
      </c>
      <c r="B125" t="s">
        <v>21</v>
      </c>
      <c r="C125" s="6" t="s">
        <v>6</v>
      </c>
      <c r="D125" t="s">
        <v>57</v>
      </c>
      <c r="E125" s="24">
        <v>0.01</v>
      </c>
      <c r="F125" t="s">
        <v>24</v>
      </c>
      <c r="G125" s="23" t="s">
        <v>75</v>
      </c>
    </row>
    <row r="126" spans="1:9" ht="16" x14ac:dyDescent="0.2">
      <c r="A126" s="13">
        <v>69</v>
      </c>
      <c r="B126" t="s">
        <v>22</v>
      </c>
      <c r="C126" s="6" t="s">
        <v>6</v>
      </c>
      <c r="D126" t="s">
        <v>58</v>
      </c>
      <c r="E126" s="24">
        <v>0.01</v>
      </c>
      <c r="F126" t="s">
        <v>24</v>
      </c>
      <c r="G126" s="23" t="s">
        <v>75</v>
      </c>
    </row>
    <row r="127" spans="1:9" ht="16" x14ac:dyDescent="0.2">
      <c r="A127" s="13">
        <v>70</v>
      </c>
      <c r="B127" t="s">
        <v>23</v>
      </c>
      <c r="C127" s="6" t="s">
        <v>6</v>
      </c>
      <c r="D127" t="s">
        <v>59</v>
      </c>
      <c r="E127" s="24">
        <v>0.01</v>
      </c>
      <c r="F127" t="s">
        <v>24</v>
      </c>
      <c r="G127" s="23" t="s">
        <v>75</v>
      </c>
    </row>
    <row r="128" spans="1:9" ht="16" x14ac:dyDescent="0.2">
      <c r="A128" s="13">
        <v>71</v>
      </c>
      <c r="B128" t="s">
        <v>30</v>
      </c>
      <c r="C128" s="6" t="s">
        <v>6</v>
      </c>
      <c r="D128" t="s">
        <v>60</v>
      </c>
      <c r="E128" s="24">
        <v>0.01</v>
      </c>
      <c r="F128" t="s">
        <v>24</v>
      </c>
      <c r="G128" s="23" t="s">
        <v>75</v>
      </c>
    </row>
  </sheetData>
  <autoFilter ref="A1:J58" xr:uid="{00000000-0009-0000-0000-000001000000}"/>
  <mergeCells count="28">
    <mergeCell ref="A98:A100"/>
    <mergeCell ref="A102:A104"/>
    <mergeCell ref="A106:A108"/>
    <mergeCell ref="A110:A112"/>
    <mergeCell ref="A78:A80"/>
    <mergeCell ref="A82:A84"/>
    <mergeCell ref="A86:A88"/>
    <mergeCell ref="A90:A92"/>
    <mergeCell ref="A94:A96"/>
    <mergeCell ref="A58:A60"/>
    <mergeCell ref="A62:A64"/>
    <mergeCell ref="A66:A68"/>
    <mergeCell ref="A70:A72"/>
    <mergeCell ref="A74:A76"/>
    <mergeCell ref="A50:A52"/>
    <mergeCell ref="A54:A56"/>
    <mergeCell ref="A26:A28"/>
    <mergeCell ref="A30:A32"/>
    <mergeCell ref="A34:A36"/>
    <mergeCell ref="A38:A40"/>
    <mergeCell ref="A42:A44"/>
    <mergeCell ref="A46:A48"/>
    <mergeCell ref="A22:A24"/>
    <mergeCell ref="A2:A4"/>
    <mergeCell ref="A6:A8"/>
    <mergeCell ref="A10:A12"/>
    <mergeCell ref="A14:A16"/>
    <mergeCell ref="A18:A20"/>
  </mergeCells>
  <conditionalFormatting sqref="C2:D2 C5:D5 C9 C13 C17 C21 C25 C29 C33 C37 C41 C45 C49 C53">
    <cfRule type="expression" dxfId="181" priority="115">
      <formula>ISODD($K2)</formula>
    </cfRule>
  </conditionalFormatting>
  <conditionalFormatting sqref="C2:D2">
    <cfRule type="expression" dxfId="180" priority="116">
      <formula>ISODD($K2)</formula>
    </cfRule>
  </conditionalFormatting>
  <conditionalFormatting sqref="B3:I4 E7:I8 E11:I12 E15:I16 E19:I20 E23:I24 E27:I28 E31:I32 E35:I36 E39:I40 E43:I44 E47:I48 E51:I52 E55:I56">
    <cfRule type="expression" dxfId="179" priority="114">
      <formula>ISODD($I3)</formula>
    </cfRule>
  </conditionalFormatting>
  <conditionalFormatting sqref="C6">
    <cfRule type="expression" dxfId="178" priority="111">
      <formula>ISODD($K6)</formula>
    </cfRule>
  </conditionalFormatting>
  <conditionalFormatting sqref="C6">
    <cfRule type="expression" dxfId="177" priority="110">
      <formula>ISODD($K6)</formula>
    </cfRule>
  </conditionalFormatting>
  <conditionalFormatting sqref="B7:C8">
    <cfRule type="expression" dxfId="176" priority="109">
      <formula>ISODD($I7)</formula>
    </cfRule>
  </conditionalFormatting>
  <conditionalFormatting sqref="C10">
    <cfRule type="expression" dxfId="175" priority="107">
      <formula>ISODD($K10)</formula>
    </cfRule>
  </conditionalFormatting>
  <conditionalFormatting sqref="C10">
    <cfRule type="expression" dxfId="174" priority="108">
      <formula>ISODD($K10)</formula>
    </cfRule>
  </conditionalFormatting>
  <conditionalFormatting sqref="B11:C12">
    <cfRule type="expression" dxfId="173" priority="106">
      <formula>ISODD($I11)</formula>
    </cfRule>
  </conditionalFormatting>
  <conditionalFormatting sqref="C14">
    <cfRule type="expression" dxfId="172" priority="104">
      <formula>ISODD($K14)</formula>
    </cfRule>
  </conditionalFormatting>
  <conditionalFormatting sqref="C14">
    <cfRule type="expression" dxfId="171" priority="105">
      <formula>ISODD($K14)</formula>
    </cfRule>
  </conditionalFormatting>
  <conditionalFormatting sqref="B15:C16">
    <cfRule type="expression" dxfId="170" priority="103">
      <formula>ISODD($I15)</formula>
    </cfRule>
  </conditionalFormatting>
  <conditionalFormatting sqref="C18">
    <cfRule type="expression" dxfId="169" priority="101">
      <formula>ISODD($K18)</formula>
    </cfRule>
  </conditionalFormatting>
  <conditionalFormatting sqref="C18">
    <cfRule type="expression" dxfId="168" priority="102">
      <formula>ISODD($K18)</formula>
    </cfRule>
  </conditionalFormatting>
  <conditionalFormatting sqref="B19:C20">
    <cfRule type="expression" dxfId="167" priority="100">
      <formula>ISODD($I19)</formula>
    </cfRule>
  </conditionalFormatting>
  <conditionalFormatting sqref="C22">
    <cfRule type="expression" dxfId="166" priority="98">
      <formula>ISODD($K22)</formula>
    </cfRule>
  </conditionalFormatting>
  <conditionalFormatting sqref="C22">
    <cfRule type="expression" dxfId="165" priority="99">
      <formula>ISODD($K22)</formula>
    </cfRule>
  </conditionalFormatting>
  <conditionalFormatting sqref="B23:C24">
    <cfRule type="expression" dxfId="164" priority="97">
      <formula>ISODD($I23)</formula>
    </cfRule>
  </conditionalFormatting>
  <conditionalFormatting sqref="C26">
    <cfRule type="expression" dxfId="163" priority="95">
      <formula>ISODD($K26)</formula>
    </cfRule>
  </conditionalFormatting>
  <conditionalFormatting sqref="C26">
    <cfRule type="expression" dxfId="162" priority="96">
      <formula>ISODD($K26)</formula>
    </cfRule>
  </conditionalFormatting>
  <conditionalFormatting sqref="B27:C28">
    <cfRule type="expression" dxfId="161" priority="94">
      <formula>ISODD($I27)</formula>
    </cfRule>
  </conditionalFormatting>
  <conditionalFormatting sqref="C30">
    <cfRule type="expression" dxfId="160" priority="92">
      <formula>ISODD($K30)</formula>
    </cfRule>
  </conditionalFormatting>
  <conditionalFormatting sqref="C30">
    <cfRule type="expression" dxfId="159" priority="93">
      <formula>ISODD($K30)</formula>
    </cfRule>
  </conditionalFormatting>
  <conditionalFormatting sqref="B31:C32">
    <cfRule type="expression" dxfId="158" priority="91">
      <formula>ISODD($I31)</formula>
    </cfRule>
  </conditionalFormatting>
  <conditionalFormatting sqref="C34">
    <cfRule type="expression" dxfId="157" priority="89">
      <formula>ISODD($K34)</formula>
    </cfRule>
  </conditionalFormatting>
  <conditionalFormatting sqref="C34">
    <cfRule type="expression" dxfId="156" priority="90">
      <formula>ISODD($K34)</formula>
    </cfRule>
  </conditionalFormatting>
  <conditionalFormatting sqref="B35:C36">
    <cfRule type="expression" dxfId="155" priority="88">
      <formula>ISODD($I35)</formula>
    </cfRule>
  </conditionalFormatting>
  <conditionalFormatting sqref="C38">
    <cfRule type="expression" dxfId="154" priority="86">
      <formula>ISODD($K38)</formula>
    </cfRule>
  </conditionalFormatting>
  <conditionalFormatting sqref="C38">
    <cfRule type="expression" dxfId="153" priority="87">
      <formula>ISODD($K38)</formula>
    </cfRule>
  </conditionalFormatting>
  <conditionalFormatting sqref="B39:C40">
    <cfRule type="expression" dxfId="152" priority="85">
      <formula>ISODD($I39)</formula>
    </cfRule>
  </conditionalFormatting>
  <conditionalFormatting sqref="C42">
    <cfRule type="expression" dxfId="151" priority="83">
      <formula>ISODD($K42)</formula>
    </cfRule>
  </conditionalFormatting>
  <conditionalFormatting sqref="C42">
    <cfRule type="expression" dxfId="150" priority="84">
      <formula>ISODD($K42)</formula>
    </cfRule>
  </conditionalFormatting>
  <conditionalFormatting sqref="B43:C44">
    <cfRule type="expression" dxfId="149" priority="82">
      <formula>ISODD($I43)</formula>
    </cfRule>
  </conditionalFormatting>
  <conditionalFormatting sqref="C46">
    <cfRule type="expression" dxfId="148" priority="80">
      <formula>ISODD($K46)</formula>
    </cfRule>
  </conditionalFormatting>
  <conditionalFormatting sqref="C46">
    <cfRule type="expression" dxfId="147" priority="81">
      <formula>ISODD($K46)</formula>
    </cfRule>
  </conditionalFormatting>
  <conditionalFormatting sqref="B47:C48">
    <cfRule type="expression" dxfId="146" priority="79">
      <formula>ISODD($I47)</formula>
    </cfRule>
  </conditionalFormatting>
  <conditionalFormatting sqref="C50">
    <cfRule type="expression" dxfId="145" priority="77">
      <formula>ISODD($K50)</formula>
    </cfRule>
  </conditionalFormatting>
  <conditionalFormatting sqref="C50">
    <cfRule type="expression" dxfId="144" priority="78">
      <formula>ISODD($K50)</formula>
    </cfRule>
  </conditionalFormatting>
  <conditionalFormatting sqref="B51:C52">
    <cfRule type="expression" dxfId="143" priority="76">
      <formula>ISODD($I51)</formula>
    </cfRule>
  </conditionalFormatting>
  <conditionalFormatting sqref="D7:D8">
    <cfRule type="expression" dxfId="142" priority="75">
      <formula>ISODD($I7)</formula>
    </cfRule>
  </conditionalFormatting>
  <conditionalFormatting sqref="D11:D12">
    <cfRule type="expression" dxfId="141" priority="74">
      <formula>ISODD($I11)</formula>
    </cfRule>
  </conditionalFormatting>
  <conditionalFormatting sqref="D15:D16">
    <cfRule type="expression" dxfId="140" priority="73">
      <formula>ISODD($I15)</formula>
    </cfRule>
  </conditionalFormatting>
  <conditionalFormatting sqref="D19:D20">
    <cfRule type="expression" dxfId="139" priority="72">
      <formula>ISODD($I19)</formula>
    </cfRule>
  </conditionalFormatting>
  <conditionalFormatting sqref="D23:D24">
    <cfRule type="expression" dxfId="138" priority="71">
      <formula>ISODD($I23)</formula>
    </cfRule>
  </conditionalFormatting>
  <conditionalFormatting sqref="D27:D28">
    <cfRule type="expression" dxfId="137" priority="70">
      <formula>ISODD($I27)</formula>
    </cfRule>
  </conditionalFormatting>
  <conditionalFormatting sqref="D31:D32">
    <cfRule type="expression" dxfId="136" priority="69">
      <formula>ISODD($I31)</formula>
    </cfRule>
  </conditionalFormatting>
  <conditionalFormatting sqref="D35:D36">
    <cfRule type="expression" dxfId="135" priority="68">
      <formula>ISODD($I35)</formula>
    </cfRule>
  </conditionalFormatting>
  <conditionalFormatting sqref="D39:D40">
    <cfRule type="expression" dxfId="134" priority="67">
      <formula>ISODD($I39)</formula>
    </cfRule>
  </conditionalFormatting>
  <conditionalFormatting sqref="D43:D44">
    <cfRule type="expression" dxfId="133" priority="66">
      <formula>ISODD($I43)</formula>
    </cfRule>
  </conditionalFormatting>
  <conditionalFormatting sqref="D47:D48">
    <cfRule type="expression" dxfId="132" priority="65">
      <formula>ISODD($I47)</formula>
    </cfRule>
  </conditionalFormatting>
  <conditionalFormatting sqref="D51:D52">
    <cfRule type="expression" dxfId="131" priority="64">
      <formula>ISODD($I51)</formula>
    </cfRule>
  </conditionalFormatting>
  <conditionalFormatting sqref="C54">
    <cfRule type="expression" dxfId="130" priority="62">
      <formula>ISODD($K54)</formula>
    </cfRule>
  </conditionalFormatting>
  <conditionalFormatting sqref="C54">
    <cfRule type="expression" dxfId="129" priority="63">
      <formula>ISODD($K54)</formula>
    </cfRule>
  </conditionalFormatting>
  <conditionalFormatting sqref="B55:C56">
    <cfRule type="expression" dxfId="128" priority="61">
      <formula>ISODD($I55)</formula>
    </cfRule>
  </conditionalFormatting>
  <conditionalFormatting sqref="D55:D56">
    <cfRule type="expression" dxfId="127" priority="60">
      <formula>ISODD($I55)</formula>
    </cfRule>
  </conditionalFormatting>
  <conditionalFormatting sqref="D111:D112">
    <cfRule type="expression" dxfId="126" priority="3">
      <formula>ISODD($I111)</formula>
    </cfRule>
  </conditionalFormatting>
  <conditionalFormatting sqref="C58:D58 C61:D61 C65 C69 C73 C77 C81 C85 C89 C93 C97 C101 C105 C109">
    <cfRule type="expression" dxfId="125" priority="56">
      <formula>ISODD($K58)</formula>
    </cfRule>
  </conditionalFormatting>
  <conditionalFormatting sqref="C58:D58">
    <cfRule type="expression" dxfId="124" priority="57">
      <formula>ISODD($K58)</formula>
    </cfRule>
  </conditionalFormatting>
  <conditionalFormatting sqref="B59:I60 E63:I64 E67:I68 E71:I72 E75:I76 E79:I80 E83:I84 E87:I88 E91:I92 E95:I96 E99:I100 E103:I104 E107:I108 E111:I112 G114:G128">
    <cfRule type="expression" dxfId="123" priority="55">
      <formula>ISODD($I59)</formula>
    </cfRule>
  </conditionalFormatting>
  <conditionalFormatting sqref="C62">
    <cfRule type="expression" dxfId="122" priority="54">
      <formula>ISODD($K62)</formula>
    </cfRule>
  </conditionalFormatting>
  <conditionalFormatting sqref="C62">
    <cfRule type="expression" dxfId="121" priority="53">
      <formula>ISODD($K62)</formula>
    </cfRule>
  </conditionalFormatting>
  <conditionalFormatting sqref="B63:C64">
    <cfRule type="expression" dxfId="120" priority="52">
      <formula>ISODD($I63)</formula>
    </cfRule>
  </conditionalFormatting>
  <conditionalFormatting sqref="C66">
    <cfRule type="expression" dxfId="119" priority="50">
      <formula>ISODD($K66)</formula>
    </cfRule>
  </conditionalFormatting>
  <conditionalFormatting sqref="C66">
    <cfRule type="expression" dxfId="118" priority="51">
      <formula>ISODD($K66)</formula>
    </cfRule>
  </conditionalFormatting>
  <conditionalFormatting sqref="B67:C68">
    <cfRule type="expression" dxfId="117" priority="49">
      <formula>ISODD($I67)</formula>
    </cfRule>
  </conditionalFormatting>
  <conditionalFormatting sqref="C70">
    <cfRule type="expression" dxfId="116" priority="47">
      <formula>ISODD($K70)</formula>
    </cfRule>
  </conditionalFormatting>
  <conditionalFormatting sqref="C70">
    <cfRule type="expression" dxfId="115" priority="48">
      <formula>ISODD($K70)</formula>
    </cfRule>
  </conditionalFormatting>
  <conditionalFormatting sqref="B71:C72">
    <cfRule type="expression" dxfId="114" priority="46">
      <formula>ISODD($I71)</formula>
    </cfRule>
  </conditionalFormatting>
  <conditionalFormatting sqref="C74">
    <cfRule type="expression" dxfId="113" priority="44">
      <formula>ISODD($K74)</formula>
    </cfRule>
  </conditionalFormatting>
  <conditionalFormatting sqref="C74">
    <cfRule type="expression" dxfId="112" priority="45">
      <formula>ISODD($K74)</formula>
    </cfRule>
  </conditionalFormatting>
  <conditionalFormatting sqref="B75:C76">
    <cfRule type="expression" dxfId="111" priority="43">
      <formula>ISODD($I75)</formula>
    </cfRule>
  </conditionalFormatting>
  <conditionalFormatting sqref="C78">
    <cfRule type="expression" dxfId="110" priority="41">
      <formula>ISODD($K78)</formula>
    </cfRule>
  </conditionalFormatting>
  <conditionalFormatting sqref="C78">
    <cfRule type="expression" dxfId="109" priority="42">
      <formula>ISODD($K78)</formula>
    </cfRule>
  </conditionalFormatting>
  <conditionalFormatting sqref="B79:C80">
    <cfRule type="expression" dxfId="108" priority="40">
      <formula>ISODD($I79)</formula>
    </cfRule>
  </conditionalFormatting>
  <conditionalFormatting sqref="C82">
    <cfRule type="expression" dxfId="107" priority="38">
      <formula>ISODD($K82)</formula>
    </cfRule>
  </conditionalFormatting>
  <conditionalFormatting sqref="C82">
    <cfRule type="expression" dxfId="106" priority="39">
      <formula>ISODD($K82)</formula>
    </cfRule>
  </conditionalFormatting>
  <conditionalFormatting sqref="B83:C84">
    <cfRule type="expression" dxfId="105" priority="37">
      <formula>ISODD($I83)</formula>
    </cfRule>
  </conditionalFormatting>
  <conditionalFormatting sqref="C86">
    <cfRule type="expression" dxfId="104" priority="35">
      <formula>ISODD($K86)</formula>
    </cfRule>
  </conditionalFormatting>
  <conditionalFormatting sqref="C86">
    <cfRule type="expression" dxfId="103" priority="36">
      <formula>ISODD($K86)</formula>
    </cfRule>
  </conditionalFormatting>
  <conditionalFormatting sqref="B87:C88">
    <cfRule type="expression" dxfId="102" priority="34">
      <formula>ISODD($I87)</formula>
    </cfRule>
  </conditionalFormatting>
  <conditionalFormatting sqref="C90">
    <cfRule type="expression" dxfId="101" priority="32">
      <formula>ISODD($K90)</formula>
    </cfRule>
  </conditionalFormatting>
  <conditionalFormatting sqref="C90">
    <cfRule type="expression" dxfId="100" priority="33">
      <formula>ISODD($K90)</formula>
    </cfRule>
  </conditionalFormatting>
  <conditionalFormatting sqref="B91:C92">
    <cfRule type="expression" dxfId="99" priority="31">
      <formula>ISODD($I91)</formula>
    </cfRule>
  </conditionalFormatting>
  <conditionalFormatting sqref="C94">
    <cfRule type="expression" dxfId="98" priority="29">
      <formula>ISODD($K94)</formula>
    </cfRule>
  </conditionalFormatting>
  <conditionalFormatting sqref="C94">
    <cfRule type="expression" dxfId="97" priority="30">
      <formula>ISODD($K94)</formula>
    </cfRule>
  </conditionalFormatting>
  <conditionalFormatting sqref="B95:C96">
    <cfRule type="expression" dxfId="96" priority="28">
      <formula>ISODD($I95)</formula>
    </cfRule>
  </conditionalFormatting>
  <conditionalFormatting sqref="C98">
    <cfRule type="expression" dxfId="95" priority="26">
      <formula>ISODD($K98)</formula>
    </cfRule>
  </conditionalFormatting>
  <conditionalFormatting sqref="C98">
    <cfRule type="expression" dxfId="94" priority="27">
      <formula>ISODD($K98)</formula>
    </cfRule>
  </conditionalFormatting>
  <conditionalFormatting sqref="B99:C100">
    <cfRule type="expression" dxfId="93" priority="25">
      <formula>ISODD($I99)</formula>
    </cfRule>
  </conditionalFormatting>
  <conditionalFormatting sqref="C102">
    <cfRule type="expression" dxfId="92" priority="23">
      <formula>ISODD($K102)</formula>
    </cfRule>
  </conditionalFormatting>
  <conditionalFormatting sqref="C102">
    <cfRule type="expression" dxfId="91" priority="24">
      <formula>ISODD($K102)</formula>
    </cfRule>
  </conditionalFormatting>
  <conditionalFormatting sqref="B103:C104">
    <cfRule type="expression" dxfId="90" priority="22">
      <formula>ISODD($I103)</formula>
    </cfRule>
  </conditionalFormatting>
  <conditionalFormatting sqref="C106">
    <cfRule type="expression" dxfId="89" priority="20">
      <formula>ISODD($K106)</formula>
    </cfRule>
  </conditionalFormatting>
  <conditionalFormatting sqref="C106">
    <cfRule type="expression" dxfId="88" priority="21">
      <formula>ISODD($K106)</formula>
    </cfRule>
  </conditionalFormatting>
  <conditionalFormatting sqref="B107:C108">
    <cfRule type="expression" dxfId="87" priority="19">
      <formula>ISODD($I107)</formula>
    </cfRule>
  </conditionalFormatting>
  <conditionalFormatting sqref="D63:D64">
    <cfRule type="expression" dxfId="86" priority="18">
      <formula>ISODD($I63)</formula>
    </cfRule>
  </conditionalFormatting>
  <conditionalFormatting sqref="D67:D68">
    <cfRule type="expression" dxfId="85" priority="17">
      <formula>ISODD($I67)</formula>
    </cfRule>
  </conditionalFormatting>
  <conditionalFormatting sqref="D71:D72">
    <cfRule type="expression" dxfId="84" priority="16">
      <formula>ISODD($I71)</formula>
    </cfRule>
  </conditionalFormatting>
  <conditionalFormatting sqref="D75:D76">
    <cfRule type="expression" dxfId="83" priority="15">
      <formula>ISODD($I75)</formula>
    </cfRule>
  </conditionalFormatting>
  <conditionalFormatting sqref="D79:D80">
    <cfRule type="expression" dxfId="82" priority="14">
      <formula>ISODD($I79)</formula>
    </cfRule>
  </conditionalFormatting>
  <conditionalFormatting sqref="D83:D84">
    <cfRule type="expression" dxfId="81" priority="13">
      <formula>ISODD($I83)</formula>
    </cfRule>
  </conditionalFormatting>
  <conditionalFormatting sqref="D87:D88">
    <cfRule type="expression" dxfId="80" priority="12">
      <formula>ISODD($I87)</formula>
    </cfRule>
  </conditionalFormatting>
  <conditionalFormatting sqref="D91:D92">
    <cfRule type="expression" dxfId="79" priority="11">
      <formula>ISODD($I91)</formula>
    </cfRule>
  </conditionalFormatting>
  <conditionalFormatting sqref="D95:D96">
    <cfRule type="expression" dxfId="78" priority="10">
      <formula>ISODD($I95)</formula>
    </cfRule>
  </conditionalFormatting>
  <conditionalFormatting sqref="D99:D100">
    <cfRule type="expression" dxfId="77" priority="9">
      <formula>ISODD($I99)</formula>
    </cfRule>
  </conditionalFormatting>
  <conditionalFormatting sqref="D103:D104">
    <cfRule type="expression" dxfId="76" priority="8">
      <formula>ISODD($I103)</formula>
    </cfRule>
  </conditionalFormatting>
  <conditionalFormatting sqref="D107:D108">
    <cfRule type="expression" dxfId="75" priority="7">
      <formula>ISODD($I107)</formula>
    </cfRule>
  </conditionalFormatting>
  <conditionalFormatting sqref="C110">
    <cfRule type="expression" dxfId="74" priority="5">
      <formula>ISODD($K110)</formula>
    </cfRule>
  </conditionalFormatting>
  <conditionalFormatting sqref="C110">
    <cfRule type="expression" dxfId="73" priority="6">
      <formula>ISODD($K110)</formula>
    </cfRule>
  </conditionalFormatting>
  <conditionalFormatting sqref="B111:C112 C114:C128">
    <cfRule type="expression" dxfId="72" priority="4">
      <formula>ISODD($I111)</formula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CE0990A-53FF-3C4E-B908-CE9F7EFAFE49}">
            <xm:f>ISODD('Reactions-2'!$K57)</xm:f>
            <x14:dxf>
              <fill>
                <patternFill patternType="solid">
                  <fgColor rgb="FFF3F3F3"/>
                  <bgColor rgb="FFF3F3F3"/>
                </patternFill>
              </fill>
              <border>
                <left/>
                <right/>
                <top/>
                <bottom/>
              </border>
            </x14:dxf>
          </x14:cfRule>
          <xm:sqref>C57</xm:sqref>
        </x14:conditionalFormatting>
        <x14:conditionalFormatting xmlns:xm="http://schemas.microsoft.com/office/excel/2006/main">
          <x14:cfRule type="expression" priority="1" id="{A6D7B81E-F551-904F-9A9A-9B4F90F81E0A}">
            <xm:f>ISODD('Reactions-2'!$K113)</xm:f>
            <x14:dxf>
              <fill>
                <patternFill patternType="solid">
                  <fgColor rgb="FFF3F3F3"/>
                  <bgColor rgb="FFF3F3F3"/>
                </patternFill>
              </fill>
              <border>
                <left/>
                <right/>
                <top/>
                <bottom/>
              </border>
            </x14:dxf>
          </x14:cfRule>
          <xm:sqref>C113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sqref="A1:XFD1"/>
    </sheetView>
  </sheetViews>
  <sheetFormatPr baseColWidth="10" defaultColWidth="8.83203125" defaultRowHeight="15" x14ac:dyDescent="0.2"/>
  <cols>
    <col min="2" max="2" width="11.83203125" customWidth="1"/>
  </cols>
  <sheetData>
    <row r="1" spans="1:3" x14ac:dyDescent="0.2">
      <c r="A1" s="1" t="s">
        <v>9</v>
      </c>
      <c r="B1" s="1" t="s">
        <v>4</v>
      </c>
      <c r="C1" s="1" t="s">
        <v>2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61"/>
  <sheetViews>
    <sheetView workbookViewId="0">
      <selection activeCell="E49" sqref="E49"/>
    </sheetView>
  </sheetViews>
  <sheetFormatPr baseColWidth="10" defaultColWidth="8.83203125" defaultRowHeight="15" x14ac:dyDescent="0.2"/>
  <cols>
    <col min="1" max="1" width="7.33203125" customWidth="1"/>
    <col min="2" max="2" width="9.33203125" bestFit="1" customWidth="1"/>
    <col min="5" max="5" width="13.33203125" style="5" customWidth="1"/>
    <col min="6" max="6" width="12.6640625" customWidth="1"/>
    <col min="7" max="7" width="42" customWidth="1"/>
    <col min="8" max="8" width="11.5" customWidth="1"/>
  </cols>
  <sheetData>
    <row r="1" spans="1:9" s="2" customFormat="1" x14ac:dyDescent="0.2">
      <c r="A1" s="8" t="s">
        <v>0</v>
      </c>
      <c r="B1" s="8" t="s">
        <v>7</v>
      </c>
      <c r="C1" s="8" t="s">
        <v>1</v>
      </c>
      <c r="D1" s="8" t="s">
        <v>8</v>
      </c>
      <c r="E1" s="8" t="s">
        <v>2</v>
      </c>
      <c r="F1" s="8" t="s">
        <v>3</v>
      </c>
      <c r="G1" s="8" t="s">
        <v>4</v>
      </c>
      <c r="H1" s="8" t="s">
        <v>5</v>
      </c>
      <c r="I1" s="4"/>
    </row>
    <row r="2" spans="1:9" ht="16" x14ac:dyDescent="0.2">
      <c r="A2" s="22">
        <v>1</v>
      </c>
      <c r="B2" s="5" t="s">
        <v>31</v>
      </c>
      <c r="C2" s="9" t="s">
        <v>6</v>
      </c>
      <c r="D2" s="9" t="s">
        <v>11</v>
      </c>
      <c r="E2" s="5">
        <v>100</v>
      </c>
      <c r="F2" s="5" t="s">
        <v>45</v>
      </c>
      <c r="G2" s="5" t="s">
        <v>29</v>
      </c>
      <c r="H2" s="5"/>
      <c r="I2" s="5"/>
    </row>
    <row r="3" spans="1:9" s="3" customFormat="1" hidden="1" x14ac:dyDescent="0.15">
      <c r="A3" s="22"/>
      <c r="B3" s="6"/>
      <c r="C3" s="6" t="s">
        <v>6</v>
      </c>
      <c r="D3" s="6"/>
      <c r="E3" s="7">
        <v>1.5</v>
      </c>
      <c r="F3" s="6" t="s">
        <v>25</v>
      </c>
      <c r="G3" s="6" t="s">
        <v>26</v>
      </c>
      <c r="H3" s="6"/>
      <c r="I3" s="6">
        <f>IF(ISBLANK(A3),I2,A3)</f>
        <v>0</v>
      </c>
    </row>
    <row r="4" spans="1:9" s="3" customFormat="1" hidden="1" x14ac:dyDescent="0.15">
      <c r="A4" s="22"/>
      <c r="B4" s="6"/>
      <c r="C4" s="6" t="s">
        <v>6</v>
      </c>
      <c r="D4" s="6"/>
      <c r="E4" s="7">
        <v>0.8</v>
      </c>
      <c r="F4" s="6" t="s">
        <v>28</v>
      </c>
      <c r="G4" s="6" t="s">
        <v>27</v>
      </c>
      <c r="H4" s="6"/>
      <c r="I4" s="6">
        <f>IF(ISBLANK(A4),I3,A4)</f>
        <v>0</v>
      </c>
    </row>
    <row r="5" spans="1:9" s="17" customFormat="1" ht="16" x14ac:dyDescent="0.2">
      <c r="A5" s="13">
        <v>2</v>
      </c>
      <c r="B5" s="14" t="s">
        <v>11</v>
      </c>
      <c r="C5" s="15" t="s">
        <v>6</v>
      </c>
      <c r="D5" s="16" t="s">
        <v>10</v>
      </c>
      <c r="E5" s="12">
        <v>50</v>
      </c>
      <c r="F5" s="17" t="s">
        <v>24</v>
      </c>
      <c r="G5" s="17" t="s">
        <v>29</v>
      </c>
    </row>
    <row r="6" spans="1:9" ht="16" x14ac:dyDescent="0.2">
      <c r="A6" s="22">
        <v>3</v>
      </c>
      <c r="B6" s="5" t="s">
        <v>32</v>
      </c>
      <c r="C6" s="9" t="s">
        <v>6</v>
      </c>
      <c r="D6" s="5" t="s">
        <v>12</v>
      </c>
      <c r="E6" s="5">
        <f>E2*0.8</f>
        <v>80</v>
      </c>
      <c r="F6" s="5" t="s">
        <v>45</v>
      </c>
      <c r="G6" s="5" t="s">
        <v>29</v>
      </c>
      <c r="H6" s="5"/>
      <c r="I6" s="5"/>
    </row>
    <row r="7" spans="1:9" s="3" customFormat="1" hidden="1" x14ac:dyDescent="0.15">
      <c r="A7" s="22"/>
      <c r="B7" s="6"/>
      <c r="C7" s="6" t="s">
        <v>6</v>
      </c>
      <c r="D7" s="6"/>
      <c r="E7" s="7">
        <v>1.5</v>
      </c>
      <c r="F7" s="6" t="s">
        <v>25</v>
      </c>
      <c r="G7" s="6" t="s">
        <v>26</v>
      </c>
      <c r="H7" s="6"/>
      <c r="I7" s="6">
        <f>IF(ISBLANK(A7),I6,A7)</f>
        <v>0</v>
      </c>
    </row>
    <row r="8" spans="1:9" s="3" customFormat="1" hidden="1" x14ac:dyDescent="0.15">
      <c r="A8" s="22"/>
      <c r="B8" s="6"/>
      <c r="C8" s="6" t="s">
        <v>6</v>
      </c>
      <c r="D8" s="6"/>
      <c r="E8" s="7">
        <v>0.8</v>
      </c>
      <c r="F8" s="6" t="s">
        <v>28</v>
      </c>
      <c r="G8" s="6" t="s">
        <v>27</v>
      </c>
      <c r="H8" s="6"/>
      <c r="I8" s="6">
        <f>IF(ISBLANK(A8),I7,A8)</f>
        <v>0</v>
      </c>
    </row>
    <row r="9" spans="1:9" s="17" customFormat="1" ht="16" x14ac:dyDescent="0.2">
      <c r="A9" s="13">
        <v>4</v>
      </c>
      <c r="B9" s="14" t="s">
        <v>12</v>
      </c>
      <c r="C9" s="15" t="s">
        <v>6</v>
      </c>
      <c r="D9" s="14" t="s">
        <v>11</v>
      </c>
      <c r="E9" s="12">
        <f>E5*0.9</f>
        <v>45</v>
      </c>
      <c r="F9" s="17" t="s">
        <v>24</v>
      </c>
      <c r="G9" s="17" t="s">
        <v>29</v>
      </c>
    </row>
    <row r="10" spans="1:9" ht="16" x14ac:dyDescent="0.2">
      <c r="A10" s="22">
        <v>5</v>
      </c>
      <c r="B10" s="5" t="s">
        <v>33</v>
      </c>
      <c r="C10" s="9" t="s">
        <v>6</v>
      </c>
      <c r="D10" s="5" t="s">
        <v>13</v>
      </c>
      <c r="E10" s="5">
        <f>E6*0.8</f>
        <v>64</v>
      </c>
      <c r="F10" s="5" t="s">
        <v>45</v>
      </c>
      <c r="G10" s="5" t="s">
        <v>29</v>
      </c>
      <c r="H10" s="5"/>
      <c r="I10" s="5"/>
    </row>
    <row r="11" spans="1:9" s="3" customFormat="1" hidden="1" x14ac:dyDescent="0.15">
      <c r="A11" s="22"/>
      <c r="B11" s="6"/>
      <c r="C11" s="6" t="s">
        <v>6</v>
      </c>
      <c r="D11" s="6"/>
      <c r="E11" s="7">
        <v>1.5</v>
      </c>
      <c r="F11" s="6" t="s">
        <v>25</v>
      </c>
      <c r="G11" s="6" t="s">
        <v>26</v>
      </c>
      <c r="H11" s="6"/>
      <c r="I11" s="6">
        <f>IF(ISBLANK(A11),I10,A11)</f>
        <v>0</v>
      </c>
    </row>
    <row r="12" spans="1:9" s="3" customFormat="1" hidden="1" x14ac:dyDescent="0.15">
      <c r="A12" s="22"/>
      <c r="B12" s="6"/>
      <c r="C12" s="6" t="s">
        <v>6</v>
      </c>
      <c r="D12" s="6"/>
      <c r="E12" s="7">
        <v>0.8</v>
      </c>
      <c r="F12" s="6" t="s">
        <v>28</v>
      </c>
      <c r="G12" s="6" t="s">
        <v>27</v>
      </c>
      <c r="H12" s="6"/>
      <c r="I12" s="6">
        <f>IF(ISBLANK(A12),I11,A12)</f>
        <v>0</v>
      </c>
    </row>
    <row r="13" spans="1:9" s="17" customFormat="1" ht="16" x14ac:dyDescent="0.2">
      <c r="A13" s="13">
        <v>6</v>
      </c>
      <c r="B13" s="14" t="s">
        <v>13</v>
      </c>
      <c r="C13" s="15" t="s">
        <v>6</v>
      </c>
      <c r="D13" s="14" t="s">
        <v>12</v>
      </c>
      <c r="E13" s="12">
        <f>E9*0.9</f>
        <v>40.5</v>
      </c>
      <c r="F13" s="17" t="s">
        <v>24</v>
      </c>
      <c r="G13" s="17" t="s">
        <v>29</v>
      </c>
    </row>
    <row r="14" spans="1:9" ht="16" x14ac:dyDescent="0.2">
      <c r="A14" s="22">
        <v>7</v>
      </c>
      <c r="B14" s="5" t="s">
        <v>34</v>
      </c>
      <c r="C14" s="9" t="s">
        <v>6</v>
      </c>
      <c r="D14" s="5" t="s">
        <v>14</v>
      </c>
      <c r="E14" s="5">
        <f>E10*0.8</f>
        <v>51.2</v>
      </c>
      <c r="F14" s="5" t="s">
        <v>45</v>
      </c>
      <c r="G14" s="5" t="s">
        <v>29</v>
      </c>
      <c r="H14" s="5"/>
      <c r="I14" s="5"/>
    </row>
    <row r="15" spans="1:9" s="3" customFormat="1" hidden="1" x14ac:dyDescent="0.15">
      <c r="A15" s="22"/>
      <c r="B15" s="6"/>
      <c r="C15" s="6" t="s">
        <v>6</v>
      </c>
      <c r="D15" s="6"/>
      <c r="E15" s="7">
        <v>1.5</v>
      </c>
      <c r="F15" s="6" t="s">
        <v>25</v>
      </c>
      <c r="G15" s="6" t="s">
        <v>26</v>
      </c>
      <c r="H15" s="6"/>
      <c r="I15" s="6">
        <f>IF(ISBLANK(A15),I14,A15)</f>
        <v>0</v>
      </c>
    </row>
    <row r="16" spans="1:9" s="3" customFormat="1" hidden="1" x14ac:dyDescent="0.15">
      <c r="A16" s="22"/>
      <c r="B16" s="6"/>
      <c r="C16" s="6" t="s">
        <v>6</v>
      </c>
      <c r="D16" s="6"/>
      <c r="E16" s="7">
        <v>0.8</v>
      </c>
      <c r="F16" s="6" t="s">
        <v>28</v>
      </c>
      <c r="G16" s="6" t="s">
        <v>27</v>
      </c>
      <c r="H16" s="6"/>
      <c r="I16" s="6">
        <f>IF(ISBLANK(A16),I15,A16)</f>
        <v>0</v>
      </c>
    </row>
    <row r="17" spans="1:9" s="17" customFormat="1" ht="16" x14ac:dyDescent="0.2">
      <c r="A17" s="13">
        <v>8</v>
      </c>
      <c r="B17" s="14" t="s">
        <v>14</v>
      </c>
      <c r="C17" s="15" t="s">
        <v>6</v>
      </c>
      <c r="D17" s="14" t="s">
        <v>13</v>
      </c>
      <c r="E17" s="12">
        <f>E13*0.9</f>
        <v>36.450000000000003</v>
      </c>
      <c r="F17" s="17" t="s">
        <v>24</v>
      </c>
      <c r="G17" s="17" t="s">
        <v>29</v>
      </c>
    </row>
    <row r="18" spans="1:9" ht="16" x14ac:dyDescent="0.2">
      <c r="A18" s="22">
        <v>9</v>
      </c>
      <c r="B18" s="5" t="s">
        <v>35</v>
      </c>
      <c r="C18" s="9" t="s">
        <v>6</v>
      </c>
      <c r="D18" s="5" t="s">
        <v>15</v>
      </c>
      <c r="E18" s="5">
        <f>E14*0.8</f>
        <v>40.960000000000008</v>
      </c>
      <c r="F18" s="5" t="s">
        <v>45</v>
      </c>
      <c r="G18" s="5" t="s">
        <v>29</v>
      </c>
      <c r="H18" s="5"/>
      <c r="I18" s="5"/>
    </row>
    <row r="19" spans="1:9" s="3" customFormat="1" hidden="1" x14ac:dyDescent="0.15">
      <c r="A19" s="22"/>
      <c r="B19" s="6"/>
      <c r="C19" s="6" t="s">
        <v>6</v>
      </c>
      <c r="D19" s="6"/>
      <c r="E19" s="7">
        <v>1.5</v>
      </c>
      <c r="F19" s="6" t="s">
        <v>25</v>
      </c>
      <c r="G19" s="6" t="s">
        <v>26</v>
      </c>
      <c r="H19" s="6"/>
      <c r="I19" s="6">
        <f>IF(ISBLANK(A19),I18,A19)</f>
        <v>0</v>
      </c>
    </row>
    <row r="20" spans="1:9" s="3" customFormat="1" hidden="1" x14ac:dyDescent="0.15">
      <c r="A20" s="22"/>
      <c r="B20" s="6"/>
      <c r="C20" s="6" t="s">
        <v>6</v>
      </c>
      <c r="D20" s="6"/>
      <c r="E20" s="7">
        <v>0.8</v>
      </c>
      <c r="F20" s="6" t="s">
        <v>28</v>
      </c>
      <c r="G20" s="6" t="s">
        <v>27</v>
      </c>
      <c r="H20" s="6"/>
      <c r="I20" s="6">
        <f>IF(ISBLANK(A20),I19,A20)</f>
        <v>0</v>
      </c>
    </row>
    <row r="21" spans="1:9" s="17" customFormat="1" ht="16" x14ac:dyDescent="0.2">
      <c r="A21" s="13">
        <v>10</v>
      </c>
      <c r="B21" s="14" t="s">
        <v>15</v>
      </c>
      <c r="C21" s="15" t="s">
        <v>6</v>
      </c>
      <c r="D21" s="14" t="s">
        <v>14</v>
      </c>
      <c r="E21" s="12">
        <f>E17*0.9</f>
        <v>32.805000000000007</v>
      </c>
      <c r="F21" s="17" t="s">
        <v>24</v>
      </c>
      <c r="G21" s="17" t="s">
        <v>29</v>
      </c>
    </row>
    <row r="22" spans="1:9" ht="16" x14ac:dyDescent="0.2">
      <c r="A22" s="22">
        <v>11</v>
      </c>
      <c r="B22" s="5" t="s">
        <v>36</v>
      </c>
      <c r="C22" s="9" t="s">
        <v>6</v>
      </c>
      <c r="D22" s="5" t="s">
        <v>16</v>
      </c>
      <c r="E22" s="5">
        <f>E18*0.8</f>
        <v>32.768000000000008</v>
      </c>
      <c r="F22" s="5" t="s">
        <v>45</v>
      </c>
      <c r="G22" s="5" t="s">
        <v>29</v>
      </c>
      <c r="H22" s="5"/>
      <c r="I22" s="5"/>
    </row>
    <row r="23" spans="1:9" s="3" customFormat="1" hidden="1" x14ac:dyDescent="0.15">
      <c r="A23" s="22"/>
      <c r="B23" s="6"/>
      <c r="C23" s="6" t="s">
        <v>6</v>
      </c>
      <c r="D23" s="6"/>
      <c r="E23" s="7">
        <v>1.5</v>
      </c>
      <c r="F23" s="6" t="s">
        <v>25</v>
      </c>
      <c r="G23" s="6" t="s">
        <v>26</v>
      </c>
      <c r="H23" s="6"/>
      <c r="I23" s="6">
        <f>IF(ISBLANK(A23),I22,A23)</f>
        <v>0</v>
      </c>
    </row>
    <row r="24" spans="1:9" s="3" customFormat="1" hidden="1" x14ac:dyDescent="0.15">
      <c r="A24" s="22"/>
      <c r="B24" s="6"/>
      <c r="C24" s="6" t="s">
        <v>6</v>
      </c>
      <c r="D24" s="6"/>
      <c r="E24" s="7">
        <v>0.8</v>
      </c>
      <c r="F24" s="6" t="s">
        <v>28</v>
      </c>
      <c r="G24" s="6" t="s">
        <v>27</v>
      </c>
      <c r="H24" s="6"/>
      <c r="I24" s="6">
        <f>IF(ISBLANK(A24),I23,A24)</f>
        <v>0</v>
      </c>
    </row>
    <row r="25" spans="1:9" s="17" customFormat="1" ht="16" x14ac:dyDescent="0.2">
      <c r="A25" s="13">
        <v>12</v>
      </c>
      <c r="B25" s="14" t="s">
        <v>16</v>
      </c>
      <c r="C25" s="15" t="s">
        <v>6</v>
      </c>
      <c r="D25" s="14" t="s">
        <v>15</v>
      </c>
      <c r="E25" s="12">
        <f>E21*0.9</f>
        <v>29.524500000000007</v>
      </c>
      <c r="F25" s="17" t="s">
        <v>24</v>
      </c>
      <c r="G25" s="17" t="s">
        <v>29</v>
      </c>
    </row>
    <row r="26" spans="1:9" ht="16" x14ac:dyDescent="0.2">
      <c r="A26" s="22">
        <v>13</v>
      </c>
      <c r="B26" s="5" t="s">
        <v>37</v>
      </c>
      <c r="C26" s="9" t="s">
        <v>6</v>
      </c>
      <c r="D26" s="5" t="s">
        <v>17</v>
      </c>
      <c r="E26" s="5">
        <f>E22*0.8</f>
        <v>26.214400000000008</v>
      </c>
      <c r="F26" s="5" t="s">
        <v>45</v>
      </c>
      <c r="G26" s="5" t="s">
        <v>29</v>
      </c>
      <c r="H26" s="5"/>
      <c r="I26" s="5"/>
    </row>
    <row r="27" spans="1:9" s="3" customFormat="1" hidden="1" x14ac:dyDescent="0.15">
      <c r="A27" s="22"/>
      <c r="B27" s="6"/>
      <c r="C27" s="6" t="s">
        <v>6</v>
      </c>
      <c r="D27" s="6"/>
      <c r="E27" s="7">
        <v>1.5</v>
      </c>
      <c r="F27" s="6" t="s">
        <v>25</v>
      </c>
      <c r="G27" s="6" t="s">
        <v>26</v>
      </c>
      <c r="H27" s="6"/>
      <c r="I27" s="6">
        <f>IF(ISBLANK(A27),I26,A27)</f>
        <v>0</v>
      </c>
    </row>
    <row r="28" spans="1:9" s="3" customFormat="1" hidden="1" x14ac:dyDescent="0.15">
      <c r="A28" s="22"/>
      <c r="B28" s="6"/>
      <c r="C28" s="6" t="s">
        <v>6</v>
      </c>
      <c r="D28" s="6"/>
      <c r="E28" s="7">
        <v>0.8</v>
      </c>
      <c r="F28" s="6" t="s">
        <v>28</v>
      </c>
      <c r="G28" s="6" t="s">
        <v>27</v>
      </c>
      <c r="H28" s="6"/>
      <c r="I28" s="6">
        <f>IF(ISBLANK(A28),I27,A28)</f>
        <v>0</v>
      </c>
    </row>
    <row r="29" spans="1:9" s="17" customFormat="1" ht="16" x14ac:dyDescent="0.2">
      <c r="A29" s="13">
        <v>14</v>
      </c>
      <c r="B29" s="14" t="s">
        <v>17</v>
      </c>
      <c r="C29" s="15" t="s">
        <v>6</v>
      </c>
      <c r="D29" s="14" t="s">
        <v>16</v>
      </c>
      <c r="E29" s="12">
        <f>E25*0.9</f>
        <v>26.572050000000008</v>
      </c>
      <c r="F29" s="17" t="s">
        <v>24</v>
      </c>
      <c r="G29" s="17" t="s">
        <v>29</v>
      </c>
    </row>
    <row r="30" spans="1:9" ht="16" x14ac:dyDescent="0.2">
      <c r="A30" s="22">
        <v>15</v>
      </c>
      <c r="B30" s="5" t="s">
        <v>38</v>
      </c>
      <c r="C30" s="9" t="s">
        <v>6</v>
      </c>
      <c r="D30" s="5" t="s">
        <v>18</v>
      </c>
      <c r="E30" s="5">
        <v>26.214400000000008</v>
      </c>
      <c r="F30" s="5" t="s">
        <v>45</v>
      </c>
      <c r="G30" s="5" t="s">
        <v>29</v>
      </c>
      <c r="H30" s="5"/>
      <c r="I30" s="5"/>
    </row>
    <row r="31" spans="1:9" s="3" customFormat="1" hidden="1" x14ac:dyDescent="0.15">
      <c r="A31" s="22"/>
      <c r="B31" s="6"/>
      <c r="C31" s="6" t="s">
        <v>6</v>
      </c>
      <c r="D31" s="6"/>
      <c r="E31" s="7">
        <v>1.5</v>
      </c>
      <c r="F31" s="6" t="s">
        <v>25</v>
      </c>
      <c r="G31" s="6" t="s">
        <v>26</v>
      </c>
      <c r="H31" s="6"/>
      <c r="I31" s="6">
        <f>IF(ISBLANK(A31),I30,A31)</f>
        <v>0</v>
      </c>
    </row>
    <row r="32" spans="1:9" s="3" customFormat="1" hidden="1" x14ac:dyDescent="0.15">
      <c r="A32" s="22"/>
      <c r="B32" s="6"/>
      <c r="C32" s="6" t="s">
        <v>6</v>
      </c>
      <c r="D32" s="6"/>
      <c r="E32" s="7">
        <v>0.8</v>
      </c>
      <c r="F32" s="6" t="s">
        <v>28</v>
      </c>
      <c r="G32" s="6" t="s">
        <v>27</v>
      </c>
      <c r="H32" s="6"/>
      <c r="I32" s="6">
        <f>IF(ISBLANK(A32),I31,A32)</f>
        <v>0</v>
      </c>
    </row>
    <row r="33" spans="1:9" s="17" customFormat="1" ht="16" x14ac:dyDescent="0.2">
      <c r="A33" s="13">
        <v>16</v>
      </c>
      <c r="B33" s="14" t="s">
        <v>18</v>
      </c>
      <c r="C33" s="15" t="s">
        <v>6</v>
      </c>
      <c r="D33" s="14" t="s">
        <v>17</v>
      </c>
      <c r="E33" s="12">
        <f>E29*0.9</f>
        <v>23.914845000000007</v>
      </c>
      <c r="F33" s="17" t="s">
        <v>24</v>
      </c>
      <c r="G33" s="17" t="s">
        <v>29</v>
      </c>
    </row>
    <row r="34" spans="1:9" ht="16" x14ac:dyDescent="0.2">
      <c r="A34" s="22">
        <v>17</v>
      </c>
      <c r="B34" s="5" t="s">
        <v>39</v>
      </c>
      <c r="C34" s="9" t="s">
        <v>6</v>
      </c>
      <c r="D34" s="5" t="s">
        <v>19</v>
      </c>
      <c r="E34" s="5">
        <v>32.768000000000008</v>
      </c>
      <c r="F34" s="5" t="s">
        <v>45</v>
      </c>
      <c r="G34" s="5" t="s">
        <v>29</v>
      </c>
      <c r="H34" s="5"/>
      <c r="I34" s="5"/>
    </row>
    <row r="35" spans="1:9" s="3" customFormat="1" hidden="1" x14ac:dyDescent="0.15">
      <c r="A35" s="22"/>
      <c r="B35" s="6"/>
      <c r="C35" s="6" t="s">
        <v>6</v>
      </c>
      <c r="D35" s="6"/>
      <c r="E35" s="7">
        <v>1.5</v>
      </c>
      <c r="F35" s="6" t="s">
        <v>25</v>
      </c>
      <c r="G35" s="6" t="s">
        <v>26</v>
      </c>
      <c r="H35" s="6"/>
      <c r="I35" s="6">
        <f>IF(ISBLANK(A35),I34,A35)</f>
        <v>0</v>
      </c>
    </row>
    <row r="36" spans="1:9" s="3" customFormat="1" hidden="1" x14ac:dyDescent="0.15">
      <c r="A36" s="22"/>
      <c r="B36" s="6"/>
      <c r="C36" s="6" t="s">
        <v>6</v>
      </c>
      <c r="D36" s="6"/>
      <c r="E36" s="7">
        <v>0.8</v>
      </c>
      <c r="F36" s="6" t="s">
        <v>28</v>
      </c>
      <c r="G36" s="6" t="s">
        <v>27</v>
      </c>
      <c r="H36" s="6"/>
      <c r="I36" s="6">
        <f>IF(ISBLANK(A36),I35,A36)</f>
        <v>0</v>
      </c>
    </row>
    <row r="37" spans="1:9" s="17" customFormat="1" ht="16" x14ac:dyDescent="0.2">
      <c r="A37" s="13">
        <v>18</v>
      </c>
      <c r="B37" s="14" t="s">
        <v>19</v>
      </c>
      <c r="C37" s="15" t="s">
        <v>6</v>
      </c>
      <c r="D37" s="14" t="s">
        <v>18</v>
      </c>
      <c r="E37" s="12">
        <f>E33*0.9</f>
        <v>21.523360500000006</v>
      </c>
      <c r="F37" s="17" t="s">
        <v>24</v>
      </c>
      <c r="G37" s="17" t="s">
        <v>29</v>
      </c>
    </row>
    <row r="38" spans="1:9" ht="16" x14ac:dyDescent="0.2">
      <c r="A38" s="22">
        <v>19</v>
      </c>
      <c r="B38" s="5" t="s">
        <v>40</v>
      </c>
      <c r="C38" s="9" t="s">
        <v>6</v>
      </c>
      <c r="D38" s="5" t="s">
        <v>20</v>
      </c>
      <c r="E38" s="5">
        <v>40.960000000000008</v>
      </c>
      <c r="F38" s="5" t="s">
        <v>45</v>
      </c>
      <c r="G38" s="5" t="s">
        <v>29</v>
      </c>
      <c r="H38" s="5"/>
      <c r="I38" s="5"/>
    </row>
    <row r="39" spans="1:9" s="3" customFormat="1" hidden="1" x14ac:dyDescent="0.15">
      <c r="A39" s="22"/>
      <c r="B39" s="6"/>
      <c r="C39" s="6" t="s">
        <v>6</v>
      </c>
      <c r="D39" s="6"/>
      <c r="E39" s="7">
        <v>1.5</v>
      </c>
      <c r="F39" s="6" t="s">
        <v>25</v>
      </c>
      <c r="G39" s="6" t="s">
        <v>26</v>
      </c>
      <c r="H39" s="6"/>
      <c r="I39" s="6">
        <f>IF(ISBLANK(A39),I38,A39)</f>
        <v>0</v>
      </c>
    </row>
    <row r="40" spans="1:9" s="3" customFormat="1" hidden="1" x14ac:dyDescent="0.15">
      <c r="A40" s="22"/>
      <c r="B40" s="6"/>
      <c r="C40" s="6" t="s">
        <v>6</v>
      </c>
      <c r="D40" s="6"/>
      <c r="E40" s="7">
        <v>0.8</v>
      </c>
      <c r="F40" s="6" t="s">
        <v>28</v>
      </c>
      <c r="G40" s="6" t="s">
        <v>27</v>
      </c>
      <c r="H40" s="6"/>
      <c r="I40" s="6">
        <f>IF(ISBLANK(A40),I39,A40)</f>
        <v>0</v>
      </c>
    </row>
    <row r="41" spans="1:9" s="17" customFormat="1" ht="16" x14ac:dyDescent="0.2">
      <c r="A41" s="13">
        <v>20</v>
      </c>
      <c r="B41" s="14" t="s">
        <v>20</v>
      </c>
      <c r="C41" s="15" t="s">
        <v>6</v>
      </c>
      <c r="D41" s="14" t="s">
        <v>19</v>
      </c>
      <c r="E41" s="12">
        <f>E37*0.9</f>
        <v>19.371024450000007</v>
      </c>
      <c r="F41" s="17" t="s">
        <v>24</v>
      </c>
      <c r="G41" s="17" t="s">
        <v>29</v>
      </c>
    </row>
    <row r="42" spans="1:9" ht="16" x14ac:dyDescent="0.2">
      <c r="A42" s="22">
        <v>21</v>
      </c>
      <c r="B42" s="5" t="s">
        <v>41</v>
      </c>
      <c r="C42" s="9" t="s">
        <v>6</v>
      </c>
      <c r="D42" s="5" t="s">
        <v>21</v>
      </c>
      <c r="E42" s="5">
        <v>51.2</v>
      </c>
      <c r="F42" s="5" t="s">
        <v>45</v>
      </c>
      <c r="G42" s="5" t="s">
        <v>29</v>
      </c>
      <c r="H42" s="5"/>
      <c r="I42" s="5"/>
    </row>
    <row r="43" spans="1:9" s="3" customFormat="1" hidden="1" x14ac:dyDescent="0.15">
      <c r="A43" s="22"/>
      <c r="B43" s="6"/>
      <c r="C43" s="6" t="s">
        <v>6</v>
      </c>
      <c r="D43" s="6"/>
      <c r="E43" s="7">
        <v>1.5</v>
      </c>
      <c r="F43" s="6" t="s">
        <v>25</v>
      </c>
      <c r="G43" s="6" t="s">
        <v>26</v>
      </c>
      <c r="H43" s="6"/>
      <c r="I43" s="6">
        <f>IF(ISBLANK(A43),I42,A43)</f>
        <v>0</v>
      </c>
    </row>
    <row r="44" spans="1:9" s="3" customFormat="1" hidden="1" x14ac:dyDescent="0.15">
      <c r="A44" s="22"/>
      <c r="B44" s="6"/>
      <c r="C44" s="6" t="s">
        <v>6</v>
      </c>
      <c r="D44" s="6"/>
      <c r="E44" s="7">
        <v>0.8</v>
      </c>
      <c r="F44" s="6" t="s">
        <v>28</v>
      </c>
      <c r="G44" s="6" t="s">
        <v>27</v>
      </c>
      <c r="H44" s="6"/>
      <c r="I44" s="6">
        <f>IF(ISBLANK(A44),I43,A44)</f>
        <v>0</v>
      </c>
    </row>
    <row r="45" spans="1:9" s="17" customFormat="1" ht="16" x14ac:dyDescent="0.2">
      <c r="A45" s="13">
        <v>22</v>
      </c>
      <c r="B45" s="14" t="s">
        <v>21</v>
      </c>
      <c r="C45" s="15" t="s">
        <v>6</v>
      </c>
      <c r="D45" s="14" t="s">
        <v>20</v>
      </c>
      <c r="E45" s="12">
        <f>E41*0.9</f>
        <v>17.433922005000007</v>
      </c>
      <c r="F45" s="17" t="s">
        <v>24</v>
      </c>
      <c r="G45" s="17" t="s">
        <v>29</v>
      </c>
    </row>
    <row r="46" spans="1:9" ht="16" x14ac:dyDescent="0.2">
      <c r="A46" s="22">
        <v>23</v>
      </c>
      <c r="B46" s="5" t="s">
        <v>42</v>
      </c>
      <c r="C46" s="9" t="s">
        <v>6</v>
      </c>
      <c r="D46" s="5" t="s">
        <v>22</v>
      </c>
      <c r="E46" s="5">
        <v>64</v>
      </c>
      <c r="F46" s="5" t="s">
        <v>45</v>
      </c>
      <c r="G46" s="5" t="s">
        <v>29</v>
      </c>
      <c r="H46" s="5"/>
      <c r="I46" s="5"/>
    </row>
    <row r="47" spans="1:9" s="3" customFormat="1" hidden="1" x14ac:dyDescent="0.15">
      <c r="A47" s="22"/>
      <c r="B47" s="6"/>
      <c r="C47" s="6" t="s">
        <v>6</v>
      </c>
      <c r="D47" s="6"/>
      <c r="E47" s="7">
        <v>1.5</v>
      </c>
      <c r="F47" s="6" t="s">
        <v>25</v>
      </c>
      <c r="G47" s="6" t="s">
        <v>26</v>
      </c>
      <c r="H47" s="6"/>
      <c r="I47" s="6">
        <f>IF(ISBLANK(A47),I46,A47)</f>
        <v>0</v>
      </c>
    </row>
    <row r="48" spans="1:9" s="3" customFormat="1" hidden="1" x14ac:dyDescent="0.15">
      <c r="A48" s="22"/>
      <c r="B48" s="6"/>
      <c r="C48" s="6" t="s">
        <v>6</v>
      </c>
      <c r="D48" s="6"/>
      <c r="E48" s="7">
        <v>0.8</v>
      </c>
      <c r="F48" s="6" t="s">
        <v>28</v>
      </c>
      <c r="G48" s="6" t="s">
        <v>27</v>
      </c>
      <c r="H48" s="6"/>
      <c r="I48" s="6">
        <f>IF(ISBLANK(A48),I47,A48)</f>
        <v>0</v>
      </c>
    </row>
    <row r="49" spans="1:9" s="17" customFormat="1" ht="16" x14ac:dyDescent="0.2">
      <c r="A49" s="13">
        <v>24</v>
      </c>
      <c r="B49" s="14" t="s">
        <v>22</v>
      </c>
      <c r="C49" s="15" t="s">
        <v>6</v>
      </c>
      <c r="D49" s="14" t="s">
        <v>21</v>
      </c>
      <c r="E49" s="12">
        <f>E45*0.9</f>
        <v>15.690529804500006</v>
      </c>
      <c r="F49" s="17" t="s">
        <v>24</v>
      </c>
      <c r="G49" s="17" t="s">
        <v>29</v>
      </c>
    </row>
    <row r="50" spans="1:9" ht="16" x14ac:dyDescent="0.2">
      <c r="A50" s="22">
        <v>25</v>
      </c>
      <c r="B50" s="5" t="s">
        <v>43</v>
      </c>
      <c r="C50" s="9" t="s">
        <v>6</v>
      </c>
      <c r="D50" s="5" t="s">
        <v>23</v>
      </c>
      <c r="E50" s="5">
        <v>80</v>
      </c>
      <c r="F50" s="5" t="s">
        <v>45</v>
      </c>
      <c r="G50" s="5" t="s">
        <v>29</v>
      </c>
      <c r="H50" s="5"/>
      <c r="I50" s="5"/>
    </row>
    <row r="51" spans="1:9" s="3" customFormat="1" hidden="1" x14ac:dyDescent="0.15">
      <c r="A51" s="22"/>
      <c r="B51" s="6"/>
      <c r="C51" s="6" t="s">
        <v>6</v>
      </c>
      <c r="D51" s="6"/>
      <c r="E51" s="7">
        <v>1.5</v>
      </c>
      <c r="F51" s="6" t="s">
        <v>25</v>
      </c>
      <c r="G51" s="6" t="s">
        <v>26</v>
      </c>
      <c r="H51" s="6"/>
      <c r="I51" s="6">
        <f>IF(ISBLANK(A51),I50,A51)</f>
        <v>0</v>
      </c>
    </row>
    <row r="52" spans="1:9" s="3" customFormat="1" hidden="1" x14ac:dyDescent="0.15">
      <c r="A52" s="22"/>
      <c r="B52" s="6"/>
      <c r="C52" s="6" t="s">
        <v>6</v>
      </c>
      <c r="D52" s="6"/>
      <c r="E52" s="7">
        <v>0.8</v>
      </c>
      <c r="F52" s="6" t="s">
        <v>28</v>
      </c>
      <c r="G52" s="6" t="s">
        <v>27</v>
      </c>
      <c r="H52" s="6"/>
      <c r="I52" s="6">
        <f>IF(ISBLANK(A52),I51,A52)</f>
        <v>0</v>
      </c>
    </row>
    <row r="53" spans="1:9" s="17" customFormat="1" ht="16" x14ac:dyDescent="0.2">
      <c r="A53" s="13">
        <v>26</v>
      </c>
      <c r="B53" s="14" t="s">
        <v>23</v>
      </c>
      <c r="C53" s="15" t="s">
        <v>6</v>
      </c>
      <c r="D53" s="14" t="s">
        <v>22</v>
      </c>
      <c r="E53" s="12">
        <f>E49*0.9</f>
        <v>14.121476824050006</v>
      </c>
      <c r="F53" s="17" t="s">
        <v>24</v>
      </c>
      <c r="G53" s="17" t="s">
        <v>29</v>
      </c>
    </row>
    <row r="54" spans="1:9" ht="16" x14ac:dyDescent="0.2">
      <c r="A54" s="22">
        <v>27</v>
      </c>
      <c r="B54" s="5" t="s">
        <v>44</v>
      </c>
      <c r="C54" s="9" t="s">
        <v>6</v>
      </c>
      <c r="D54" s="5" t="s">
        <v>30</v>
      </c>
      <c r="E54" s="5">
        <v>100</v>
      </c>
      <c r="F54" s="5" t="s">
        <v>45</v>
      </c>
      <c r="G54" s="5" t="s">
        <v>29</v>
      </c>
      <c r="H54" s="5"/>
      <c r="I54" s="5"/>
    </row>
    <row r="55" spans="1:9" s="3" customFormat="1" hidden="1" x14ac:dyDescent="0.15">
      <c r="A55" s="22"/>
      <c r="B55" s="6"/>
      <c r="C55" s="6" t="s">
        <v>6</v>
      </c>
      <c r="D55" s="6"/>
      <c r="E55" s="7">
        <v>1.5</v>
      </c>
      <c r="F55" s="6" t="s">
        <v>25</v>
      </c>
      <c r="G55" s="6" t="s">
        <v>26</v>
      </c>
      <c r="H55" s="6"/>
      <c r="I55" s="6">
        <f>IF(ISBLANK(A55),I54,A55)</f>
        <v>0</v>
      </c>
    </row>
    <row r="56" spans="1:9" s="3" customFormat="1" hidden="1" x14ac:dyDescent="0.15">
      <c r="A56" s="22"/>
      <c r="B56" s="6"/>
      <c r="C56" s="6" t="s">
        <v>6</v>
      </c>
      <c r="D56" s="6"/>
      <c r="E56" s="7">
        <v>0.8</v>
      </c>
      <c r="F56" s="6" t="s">
        <v>28</v>
      </c>
      <c r="G56" s="6" t="s">
        <v>27</v>
      </c>
      <c r="H56" s="6"/>
      <c r="I56" s="6">
        <f>IF(ISBLANK(A56),I55,A56)</f>
        <v>0</v>
      </c>
    </row>
    <row r="57" spans="1:9" s="18" customFormat="1" ht="16" x14ac:dyDescent="0.2">
      <c r="A57" s="13">
        <v>28</v>
      </c>
      <c r="B57" s="14" t="s">
        <v>30</v>
      </c>
      <c r="C57" s="15" t="s">
        <v>6</v>
      </c>
      <c r="D57" s="14" t="s">
        <v>23</v>
      </c>
      <c r="E57" s="12">
        <f>E53*0.9</f>
        <v>12.709329141645005</v>
      </c>
      <c r="F57" s="17" t="s">
        <v>24</v>
      </c>
      <c r="G57" s="17" t="s">
        <v>29</v>
      </c>
      <c r="H57" s="17"/>
      <c r="I57" s="17"/>
    </row>
    <row r="58" spans="1:9" x14ac:dyDescent="0.2">
      <c r="A58" s="11"/>
      <c r="B58" s="6"/>
      <c r="C58" s="6"/>
      <c r="D58" s="6"/>
      <c r="E58" s="7"/>
      <c r="F58" s="6"/>
      <c r="G58" s="6"/>
      <c r="H58" s="6"/>
      <c r="I58" s="6"/>
    </row>
    <row r="59" spans="1:9" x14ac:dyDescent="0.2">
      <c r="A59" s="11"/>
      <c r="B59" s="5"/>
      <c r="C59" s="9"/>
      <c r="D59" s="9"/>
      <c r="F59" s="5"/>
      <c r="G59" s="5"/>
      <c r="H59" s="5"/>
      <c r="I59" s="5"/>
    </row>
    <row r="60" spans="1:9" x14ac:dyDescent="0.2">
      <c r="A60" s="11"/>
      <c r="B60" s="6"/>
      <c r="C60" s="6"/>
      <c r="D60" s="6"/>
      <c r="E60" s="7"/>
      <c r="F60" s="6"/>
      <c r="G60" s="6"/>
      <c r="H60" s="6"/>
      <c r="I60" s="6"/>
    </row>
    <row r="61" spans="1:9" x14ac:dyDescent="0.2">
      <c r="A61" s="11"/>
      <c r="B61" s="6"/>
      <c r="C61" s="6"/>
      <c r="D61" s="6"/>
      <c r="E61" s="7"/>
      <c r="F61" s="6"/>
      <c r="G61" s="6"/>
      <c r="H61" s="6"/>
      <c r="I61" s="6"/>
    </row>
  </sheetData>
  <autoFilter ref="A1:I57" xr:uid="{00000000-0009-0000-0000-000003000000}">
    <filterColumn colId="5">
      <filters>
        <filter val="min ⁻¹"/>
        <filter val="uM⁻¹min ⁻¹"/>
      </filters>
    </filterColumn>
  </autoFilter>
  <mergeCells count="14">
    <mergeCell ref="A50:A52"/>
    <mergeCell ref="A54:A56"/>
    <mergeCell ref="A26:A28"/>
    <mergeCell ref="A30:A32"/>
    <mergeCell ref="A34:A36"/>
    <mergeCell ref="A38:A40"/>
    <mergeCell ref="A42:A44"/>
    <mergeCell ref="A46:A48"/>
    <mergeCell ref="A22:A24"/>
    <mergeCell ref="A2:A4"/>
    <mergeCell ref="A6:A8"/>
    <mergeCell ref="A10:A12"/>
    <mergeCell ref="A14:A16"/>
    <mergeCell ref="A18:A20"/>
  </mergeCells>
  <conditionalFormatting sqref="C2:D2 C5:D5 C9 C13 C17 C21 C25 C29 C33 C37 C41 C45 C49 C53 C57">
    <cfRule type="expression" dxfId="70" priority="56">
      <formula>ISODD($K2)</formula>
    </cfRule>
  </conditionalFormatting>
  <conditionalFormatting sqref="C2:D2">
    <cfRule type="expression" dxfId="69" priority="57">
      <formula>ISODD($K2)</formula>
    </cfRule>
  </conditionalFormatting>
  <conditionalFormatting sqref="B3:I4 B58:I58 B60:I61 E7:I8 E11:I12 E15:I16 E19:I20 E23:I24 E27:I28 E31:I32 E35:I36 E39:I40 E43:I44 E47:I48 E51:I52 E55:I56">
    <cfRule type="expression" dxfId="68" priority="55">
      <formula>ISODD($I3)</formula>
    </cfRule>
  </conditionalFormatting>
  <conditionalFormatting sqref="C59:D59">
    <cfRule type="expression" dxfId="67" priority="53">
      <formula>ISODD($K59)</formula>
    </cfRule>
  </conditionalFormatting>
  <conditionalFormatting sqref="C59:D59">
    <cfRule type="expression" dxfId="66" priority="54">
      <formula>ISODD($K59)</formula>
    </cfRule>
  </conditionalFormatting>
  <conditionalFormatting sqref="C6">
    <cfRule type="expression" dxfId="65" priority="51">
      <formula>ISODD($K6)</formula>
    </cfRule>
  </conditionalFormatting>
  <conditionalFormatting sqref="C6">
    <cfRule type="expression" dxfId="64" priority="52">
      <formula>ISODD($K6)</formula>
    </cfRule>
  </conditionalFormatting>
  <conditionalFormatting sqref="B7:C8">
    <cfRule type="expression" dxfId="63" priority="50">
      <formula>ISODD($I7)</formula>
    </cfRule>
  </conditionalFormatting>
  <conditionalFormatting sqref="C10">
    <cfRule type="expression" dxfId="62" priority="48">
      <formula>ISODD($K10)</formula>
    </cfRule>
  </conditionalFormatting>
  <conditionalFormatting sqref="C10">
    <cfRule type="expression" dxfId="61" priority="49">
      <formula>ISODD($K10)</formula>
    </cfRule>
  </conditionalFormatting>
  <conditionalFormatting sqref="B11:C12">
    <cfRule type="expression" dxfId="60" priority="47">
      <formula>ISODD($I11)</formula>
    </cfRule>
  </conditionalFormatting>
  <conditionalFormatting sqref="C14">
    <cfRule type="expression" dxfId="59" priority="45">
      <formula>ISODD($K14)</formula>
    </cfRule>
  </conditionalFormatting>
  <conditionalFormatting sqref="C14">
    <cfRule type="expression" dxfId="58" priority="46">
      <formula>ISODD($K14)</formula>
    </cfRule>
  </conditionalFormatting>
  <conditionalFormatting sqref="B15:C16">
    <cfRule type="expression" dxfId="57" priority="44">
      <formula>ISODD($I15)</formula>
    </cfRule>
  </conditionalFormatting>
  <conditionalFormatting sqref="C18">
    <cfRule type="expression" dxfId="56" priority="42">
      <formula>ISODD($K18)</formula>
    </cfRule>
  </conditionalFormatting>
  <conditionalFormatting sqref="C18">
    <cfRule type="expression" dxfId="55" priority="43">
      <formula>ISODD($K18)</formula>
    </cfRule>
  </conditionalFormatting>
  <conditionalFormatting sqref="B19:C20">
    <cfRule type="expression" dxfId="54" priority="41">
      <formula>ISODD($I19)</formula>
    </cfRule>
  </conditionalFormatting>
  <conditionalFormatting sqref="C22">
    <cfRule type="expression" dxfId="53" priority="39">
      <formula>ISODD($K22)</formula>
    </cfRule>
  </conditionalFormatting>
  <conditionalFormatting sqref="C22">
    <cfRule type="expression" dxfId="52" priority="40">
      <formula>ISODD($K22)</formula>
    </cfRule>
  </conditionalFormatting>
  <conditionalFormatting sqref="B23:C24">
    <cfRule type="expression" dxfId="51" priority="38">
      <formula>ISODD($I23)</formula>
    </cfRule>
  </conditionalFormatting>
  <conditionalFormatting sqref="C26">
    <cfRule type="expression" dxfId="50" priority="36">
      <formula>ISODD($K26)</formula>
    </cfRule>
  </conditionalFormatting>
  <conditionalFormatting sqref="C26">
    <cfRule type="expression" dxfId="49" priority="37">
      <formula>ISODD($K26)</formula>
    </cfRule>
  </conditionalFormatting>
  <conditionalFormatting sqref="B27:C28">
    <cfRule type="expression" dxfId="48" priority="35">
      <formula>ISODD($I27)</formula>
    </cfRule>
  </conditionalFormatting>
  <conditionalFormatting sqref="C30">
    <cfRule type="expression" dxfId="47" priority="33">
      <formula>ISODD($K30)</formula>
    </cfRule>
  </conditionalFormatting>
  <conditionalFormatting sqref="C30">
    <cfRule type="expression" dxfId="46" priority="34">
      <formula>ISODD($K30)</formula>
    </cfRule>
  </conditionalFormatting>
  <conditionalFormatting sqref="B31:C32">
    <cfRule type="expression" dxfId="45" priority="32">
      <formula>ISODD($I31)</formula>
    </cfRule>
  </conditionalFormatting>
  <conditionalFormatting sqref="C34">
    <cfRule type="expression" dxfId="44" priority="30">
      <formula>ISODD($K34)</formula>
    </cfRule>
  </conditionalFormatting>
  <conditionalFormatting sqref="C34">
    <cfRule type="expression" dxfId="43" priority="31">
      <formula>ISODD($K34)</formula>
    </cfRule>
  </conditionalFormatting>
  <conditionalFormatting sqref="B35:C36">
    <cfRule type="expression" dxfId="42" priority="29">
      <formula>ISODD($I35)</formula>
    </cfRule>
  </conditionalFormatting>
  <conditionalFormatting sqref="C38">
    <cfRule type="expression" dxfId="41" priority="27">
      <formula>ISODD($K38)</formula>
    </cfRule>
  </conditionalFormatting>
  <conditionalFormatting sqref="C38">
    <cfRule type="expression" dxfId="40" priority="28">
      <formula>ISODD($K38)</formula>
    </cfRule>
  </conditionalFormatting>
  <conditionalFormatting sqref="B39:C40">
    <cfRule type="expression" dxfId="39" priority="26">
      <formula>ISODD($I39)</formula>
    </cfRule>
  </conditionalFormatting>
  <conditionalFormatting sqref="C42">
    <cfRule type="expression" dxfId="38" priority="24">
      <formula>ISODD($K42)</formula>
    </cfRule>
  </conditionalFormatting>
  <conditionalFormatting sqref="C42">
    <cfRule type="expression" dxfId="37" priority="25">
      <formula>ISODD($K42)</formula>
    </cfRule>
  </conditionalFormatting>
  <conditionalFormatting sqref="B43:C44">
    <cfRule type="expression" dxfId="36" priority="23">
      <formula>ISODD($I43)</formula>
    </cfRule>
  </conditionalFormatting>
  <conditionalFormatting sqref="C46">
    <cfRule type="expression" dxfId="35" priority="21">
      <formula>ISODD($K46)</formula>
    </cfRule>
  </conditionalFormatting>
  <conditionalFormatting sqref="C46">
    <cfRule type="expression" dxfId="34" priority="22">
      <formula>ISODD($K46)</formula>
    </cfRule>
  </conditionalFormatting>
  <conditionalFormatting sqref="B47:C48">
    <cfRule type="expression" dxfId="33" priority="20">
      <formula>ISODD($I47)</formula>
    </cfRule>
  </conditionalFormatting>
  <conditionalFormatting sqref="C50">
    <cfRule type="expression" dxfId="32" priority="18">
      <formula>ISODD($K50)</formula>
    </cfRule>
  </conditionalFormatting>
  <conditionalFormatting sqref="C50">
    <cfRule type="expression" dxfId="31" priority="19">
      <formula>ISODD($K50)</formula>
    </cfRule>
  </conditionalFormatting>
  <conditionalFormatting sqref="B51:C52">
    <cfRule type="expression" dxfId="30" priority="17">
      <formula>ISODD($I51)</formula>
    </cfRule>
  </conditionalFormatting>
  <conditionalFormatting sqref="D7:D8">
    <cfRule type="expression" dxfId="29" priority="16">
      <formula>ISODD($I7)</formula>
    </cfRule>
  </conditionalFormatting>
  <conditionalFormatting sqref="D11:D12">
    <cfRule type="expression" dxfId="28" priority="15">
      <formula>ISODD($I11)</formula>
    </cfRule>
  </conditionalFormatting>
  <conditionalFormatting sqref="D15:D16">
    <cfRule type="expression" dxfId="27" priority="14">
      <formula>ISODD($I15)</formula>
    </cfRule>
  </conditionalFormatting>
  <conditionalFormatting sqref="D19:D20">
    <cfRule type="expression" dxfId="26" priority="13">
      <formula>ISODD($I19)</formula>
    </cfRule>
  </conditionalFormatting>
  <conditionalFormatting sqref="D23:D24">
    <cfRule type="expression" dxfId="25" priority="12">
      <formula>ISODD($I23)</formula>
    </cfRule>
  </conditionalFormatting>
  <conditionalFormatting sqref="D27:D28">
    <cfRule type="expression" dxfId="24" priority="11">
      <formula>ISODD($I27)</formula>
    </cfRule>
  </conditionalFormatting>
  <conditionalFormatting sqref="D31:D32">
    <cfRule type="expression" dxfId="23" priority="10">
      <formula>ISODD($I31)</formula>
    </cfRule>
  </conditionalFormatting>
  <conditionalFormatting sqref="D35:D36">
    <cfRule type="expression" dxfId="22" priority="9">
      <formula>ISODD($I35)</formula>
    </cfRule>
  </conditionalFormatting>
  <conditionalFormatting sqref="D39:D40">
    <cfRule type="expression" dxfId="21" priority="8">
      <formula>ISODD($I39)</formula>
    </cfRule>
  </conditionalFormatting>
  <conditionalFormatting sqref="D43:D44">
    <cfRule type="expression" dxfId="20" priority="7">
      <formula>ISODD($I43)</formula>
    </cfRule>
  </conditionalFormatting>
  <conditionalFormatting sqref="D47:D48">
    <cfRule type="expression" dxfId="19" priority="6">
      <formula>ISODD($I47)</formula>
    </cfRule>
  </conditionalFormatting>
  <conditionalFormatting sqref="D51:D52">
    <cfRule type="expression" dxfId="18" priority="5">
      <formula>ISODD($I51)</formula>
    </cfRule>
  </conditionalFormatting>
  <conditionalFormatting sqref="C54">
    <cfRule type="expression" dxfId="17" priority="3">
      <formula>ISODD($K54)</formula>
    </cfRule>
  </conditionalFormatting>
  <conditionalFormatting sqref="C54">
    <cfRule type="expression" dxfId="16" priority="4">
      <formula>ISODD($K54)</formula>
    </cfRule>
  </conditionalFormatting>
  <conditionalFormatting sqref="B55:C56">
    <cfRule type="expression" dxfId="15" priority="2">
      <formula>ISODD($I55)</formula>
    </cfRule>
  </conditionalFormatting>
  <conditionalFormatting sqref="D55:D56">
    <cfRule type="expression" dxfId="14" priority="1">
      <formula>ISODD($I55)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5" sqref="B5"/>
    </sheetView>
  </sheetViews>
  <sheetFormatPr baseColWidth="10" defaultColWidth="9" defaultRowHeight="14" x14ac:dyDescent="0.15"/>
  <cols>
    <col min="1" max="16384" width="9" style="5"/>
  </cols>
  <sheetData>
    <row r="1" spans="1:2" s="10" customFormat="1" x14ac:dyDescent="0.15">
      <c r="A1" s="10" t="s">
        <v>0</v>
      </c>
      <c r="B1" s="10" t="s">
        <v>9</v>
      </c>
    </row>
    <row r="2" spans="1:2" x14ac:dyDescent="0.15">
      <c r="A2" s="5">
        <v>1</v>
      </c>
      <c r="B2" s="5" t="s">
        <v>10</v>
      </c>
    </row>
    <row r="3" spans="1:2" x14ac:dyDescent="0.15">
      <c r="A3" s="5">
        <v>2</v>
      </c>
      <c r="B3" s="5" t="s">
        <v>11</v>
      </c>
    </row>
    <row r="4" spans="1:2" x14ac:dyDescent="0.15">
      <c r="A4" s="5">
        <v>3</v>
      </c>
      <c r="B4" s="5" t="s">
        <v>12</v>
      </c>
    </row>
    <row r="5" spans="1:2" x14ac:dyDescent="0.15">
      <c r="A5" s="5">
        <v>4</v>
      </c>
      <c r="B5" s="5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zoomScale="115" zoomScaleNormal="115" workbookViewId="0">
      <selection activeCell="E5" sqref="E5"/>
    </sheetView>
  </sheetViews>
  <sheetFormatPr baseColWidth="10" defaultColWidth="8.83203125" defaultRowHeight="15" x14ac:dyDescent="0.2"/>
  <cols>
    <col min="1" max="1" width="7.33203125" customWidth="1"/>
    <col min="2" max="2" width="9.33203125" bestFit="1" customWidth="1"/>
    <col min="5" max="5" width="13.33203125" style="5" customWidth="1"/>
    <col min="6" max="6" width="12.6640625" customWidth="1"/>
    <col min="7" max="7" width="42" customWidth="1"/>
    <col min="8" max="8" width="11.5" customWidth="1"/>
  </cols>
  <sheetData>
    <row r="1" spans="1:9" s="2" customFormat="1" x14ac:dyDescent="0.2">
      <c r="A1" s="8" t="s">
        <v>0</v>
      </c>
      <c r="B1" s="8" t="s">
        <v>7</v>
      </c>
      <c r="C1" s="8" t="s">
        <v>1</v>
      </c>
      <c r="D1" s="8" t="s">
        <v>8</v>
      </c>
      <c r="E1" s="8" t="s">
        <v>2</v>
      </c>
      <c r="F1" s="8" t="s">
        <v>3</v>
      </c>
      <c r="G1" s="8" t="s">
        <v>4</v>
      </c>
      <c r="H1" s="8" t="s">
        <v>5</v>
      </c>
      <c r="I1" s="4"/>
    </row>
    <row r="2" spans="1:9" ht="16" x14ac:dyDescent="0.2">
      <c r="A2" s="22">
        <v>1</v>
      </c>
      <c r="B2" s="5" t="s">
        <v>31</v>
      </c>
      <c r="C2" s="9" t="s">
        <v>6</v>
      </c>
      <c r="D2" s="9" t="s">
        <v>11</v>
      </c>
      <c r="E2" s="5">
        <v>10</v>
      </c>
      <c r="F2" s="5" t="s">
        <v>45</v>
      </c>
      <c r="G2" s="5" t="s">
        <v>29</v>
      </c>
      <c r="H2" s="5"/>
      <c r="I2" s="5"/>
    </row>
    <row r="3" spans="1:9" s="3" customFormat="1" x14ac:dyDescent="0.15">
      <c r="A3" s="22"/>
      <c r="B3" s="6"/>
      <c r="C3" s="6" t="s">
        <v>6</v>
      </c>
      <c r="D3" s="6"/>
      <c r="E3" s="7">
        <v>5</v>
      </c>
      <c r="F3" s="6" t="s">
        <v>25</v>
      </c>
      <c r="G3" s="6" t="s">
        <v>26</v>
      </c>
      <c r="H3" s="6"/>
      <c r="I3" s="6">
        <f>IF(ISBLANK(A3),I2,A3)</f>
        <v>0</v>
      </c>
    </row>
    <row r="4" spans="1:9" s="3" customFormat="1" x14ac:dyDescent="0.15">
      <c r="A4" s="22"/>
      <c r="B4" s="6"/>
      <c r="C4" s="6" t="s">
        <v>6</v>
      </c>
      <c r="D4" s="6"/>
      <c r="E4" s="7">
        <v>2.2999999999999998</v>
      </c>
      <c r="F4" s="6" t="s">
        <v>28</v>
      </c>
      <c r="G4" s="6" t="s">
        <v>27</v>
      </c>
      <c r="H4" s="6"/>
      <c r="I4" s="6">
        <f>IF(ISBLANK(A4),I3,A4)</f>
        <v>0</v>
      </c>
    </row>
    <row r="5" spans="1:9" s="17" customFormat="1" ht="16" x14ac:dyDescent="0.2">
      <c r="A5" s="13">
        <v>2</v>
      </c>
      <c r="B5" s="14" t="s">
        <v>11</v>
      </c>
      <c r="C5" s="15" t="s">
        <v>6</v>
      </c>
      <c r="D5" s="16" t="s">
        <v>10</v>
      </c>
      <c r="E5" s="12">
        <v>50</v>
      </c>
      <c r="F5" s="17" t="s">
        <v>24</v>
      </c>
      <c r="G5" s="17" t="s">
        <v>29</v>
      </c>
    </row>
    <row r="6" spans="1:9" ht="16" x14ac:dyDescent="0.2">
      <c r="A6" s="22">
        <v>3</v>
      </c>
      <c r="B6" s="5" t="s">
        <v>32</v>
      </c>
      <c r="C6" s="9" t="s">
        <v>6</v>
      </c>
      <c r="D6" s="5" t="s">
        <v>12</v>
      </c>
      <c r="E6" s="5">
        <f>E2*1.2</f>
        <v>12</v>
      </c>
      <c r="F6" s="5" t="s">
        <v>45</v>
      </c>
      <c r="G6" s="5" t="s">
        <v>29</v>
      </c>
      <c r="H6" s="5"/>
      <c r="I6" s="5"/>
    </row>
    <row r="7" spans="1:9" s="3" customFormat="1" x14ac:dyDescent="0.15">
      <c r="A7" s="22"/>
      <c r="B7" s="6"/>
      <c r="C7" s="6" t="s">
        <v>6</v>
      </c>
      <c r="D7" s="6"/>
      <c r="E7" s="7">
        <v>5</v>
      </c>
      <c r="F7" s="6" t="s">
        <v>25</v>
      </c>
      <c r="G7" s="6" t="s">
        <v>26</v>
      </c>
      <c r="H7" s="6"/>
      <c r="I7" s="6">
        <f>IF(ISBLANK(A7),I6,A7)</f>
        <v>0</v>
      </c>
    </row>
    <row r="8" spans="1:9" s="3" customFormat="1" x14ac:dyDescent="0.15">
      <c r="A8" s="22"/>
      <c r="B8" s="6"/>
      <c r="C8" s="6" t="s">
        <v>6</v>
      </c>
      <c r="D8" s="6"/>
      <c r="E8" s="7">
        <v>2.2999999999999998</v>
      </c>
      <c r="F8" s="6" t="s">
        <v>28</v>
      </c>
      <c r="G8" s="6" t="s">
        <v>27</v>
      </c>
      <c r="H8" s="6"/>
      <c r="I8" s="6">
        <f>IF(ISBLANK(A8),I7,A8)</f>
        <v>0</v>
      </c>
    </row>
    <row r="9" spans="1:9" s="17" customFormat="1" ht="16" x14ac:dyDescent="0.2">
      <c r="A9" s="13">
        <v>4</v>
      </c>
      <c r="B9" s="14" t="s">
        <v>12</v>
      </c>
      <c r="C9" s="15" t="s">
        <v>6</v>
      </c>
      <c r="D9" s="14" t="s">
        <v>11</v>
      </c>
      <c r="E9" s="12">
        <f>E5*0.75</f>
        <v>37.5</v>
      </c>
      <c r="F9" s="17" t="s">
        <v>24</v>
      </c>
      <c r="G9" s="17" t="s">
        <v>29</v>
      </c>
    </row>
    <row r="10" spans="1:9" ht="16" x14ac:dyDescent="0.2">
      <c r="A10" s="22">
        <v>5</v>
      </c>
      <c r="B10" s="5" t="s">
        <v>33</v>
      </c>
      <c r="C10" s="9" t="s">
        <v>6</v>
      </c>
      <c r="D10" s="5" t="s">
        <v>13</v>
      </c>
      <c r="E10" s="5">
        <f>E6*1.2</f>
        <v>14.399999999999999</v>
      </c>
      <c r="F10" s="5" t="s">
        <v>45</v>
      </c>
      <c r="G10" s="5" t="s">
        <v>29</v>
      </c>
      <c r="H10" s="5"/>
      <c r="I10" s="5"/>
    </row>
    <row r="11" spans="1:9" s="3" customFormat="1" x14ac:dyDescent="0.15">
      <c r="A11" s="22"/>
      <c r="B11" s="6"/>
      <c r="C11" s="6" t="s">
        <v>6</v>
      </c>
      <c r="D11" s="6"/>
      <c r="E11" s="7">
        <v>5</v>
      </c>
      <c r="F11" s="6" t="s">
        <v>25</v>
      </c>
      <c r="G11" s="6" t="s">
        <v>26</v>
      </c>
      <c r="H11" s="6"/>
      <c r="I11" s="6">
        <f>IF(ISBLANK(A11),I10,A11)</f>
        <v>0</v>
      </c>
    </row>
    <row r="12" spans="1:9" s="3" customFormat="1" x14ac:dyDescent="0.15">
      <c r="A12" s="22"/>
      <c r="B12" s="6"/>
      <c r="C12" s="6" t="s">
        <v>6</v>
      </c>
      <c r="D12" s="6"/>
      <c r="E12" s="7">
        <v>2.2999999999999998</v>
      </c>
      <c r="F12" s="6" t="s">
        <v>28</v>
      </c>
      <c r="G12" s="6" t="s">
        <v>27</v>
      </c>
      <c r="H12" s="6"/>
      <c r="I12" s="6">
        <f>IF(ISBLANK(A12),I11,A12)</f>
        <v>0</v>
      </c>
    </row>
    <row r="13" spans="1:9" s="17" customFormat="1" ht="16" x14ac:dyDescent="0.2">
      <c r="A13" s="13">
        <v>6</v>
      </c>
      <c r="B13" s="14" t="s">
        <v>13</v>
      </c>
      <c r="C13" s="15" t="s">
        <v>6</v>
      </c>
      <c r="D13" s="14" t="s">
        <v>12</v>
      </c>
      <c r="E13" s="12">
        <f>E9*0.75</f>
        <v>28.125</v>
      </c>
      <c r="F13" s="17" t="s">
        <v>24</v>
      </c>
      <c r="G13" s="17" t="s">
        <v>29</v>
      </c>
    </row>
    <row r="14" spans="1:9" x14ac:dyDescent="0.2">
      <c r="A14" s="11"/>
      <c r="B14" s="6"/>
      <c r="C14" s="6"/>
      <c r="D14" s="6"/>
      <c r="E14" s="7"/>
      <c r="F14" s="6"/>
      <c r="G14" s="6"/>
      <c r="H14" s="6"/>
      <c r="I14" s="6"/>
    </row>
    <row r="15" spans="1:9" x14ac:dyDescent="0.2">
      <c r="A15" s="11"/>
      <c r="B15" s="5"/>
      <c r="C15" s="9"/>
      <c r="D15" s="9"/>
      <c r="F15" s="5"/>
      <c r="G15" s="5"/>
      <c r="H15" s="5"/>
      <c r="I15" s="5"/>
    </row>
    <row r="16" spans="1:9" x14ac:dyDescent="0.2">
      <c r="A16" s="11"/>
      <c r="B16" s="6"/>
      <c r="C16" s="6"/>
      <c r="D16" s="6"/>
      <c r="E16" s="7"/>
      <c r="F16" s="6"/>
      <c r="G16" s="6"/>
      <c r="H16" s="6"/>
      <c r="I16" s="6"/>
    </row>
    <row r="17" spans="1:9" x14ac:dyDescent="0.2">
      <c r="A17" s="11"/>
      <c r="B17" s="6"/>
      <c r="C17" s="6"/>
      <c r="D17" s="6"/>
      <c r="E17" s="7"/>
      <c r="F17" s="6"/>
      <c r="G17" s="6"/>
      <c r="H17" s="6"/>
      <c r="I17" s="6"/>
    </row>
  </sheetData>
  <autoFilter ref="A1:I13" xr:uid="{00000000-0009-0000-0000-000005000000}"/>
  <mergeCells count="3">
    <mergeCell ref="A2:A4"/>
    <mergeCell ref="A6:A8"/>
    <mergeCell ref="A10:A12"/>
  </mergeCells>
  <conditionalFormatting sqref="C2:D2 C5:D5 C9 C13">
    <cfRule type="expression" dxfId="13" priority="110">
      <formula>ISODD($K2)</formula>
    </cfRule>
  </conditionalFormatting>
  <conditionalFormatting sqref="C2:D2">
    <cfRule type="expression" dxfId="12" priority="111">
      <formula>ISODD($K2)</formula>
    </cfRule>
  </conditionalFormatting>
  <conditionalFormatting sqref="B3:I4 B14:I14 B16:I17 E7:I8 E11:I12">
    <cfRule type="expression" dxfId="11" priority="107">
      <formula>ISODD($I3)</formula>
    </cfRule>
  </conditionalFormatting>
  <conditionalFormatting sqref="C15:D15">
    <cfRule type="expression" dxfId="10" priority="72">
      <formula>ISODD($K15)</formula>
    </cfRule>
  </conditionalFormatting>
  <conditionalFormatting sqref="C15:D15">
    <cfRule type="expression" dxfId="9" priority="73">
      <formula>ISODD($K15)</formula>
    </cfRule>
  </conditionalFormatting>
  <conditionalFormatting sqref="C6">
    <cfRule type="expression" dxfId="8" priority="68">
      <formula>ISODD($K6)</formula>
    </cfRule>
  </conditionalFormatting>
  <conditionalFormatting sqref="C6">
    <cfRule type="expression" dxfId="7" priority="69">
      <formula>ISODD($K6)</formula>
    </cfRule>
  </conditionalFormatting>
  <conditionalFormatting sqref="B7:C8">
    <cfRule type="expression" dxfId="6" priority="67">
      <formula>ISODD($I7)</formula>
    </cfRule>
  </conditionalFormatting>
  <conditionalFormatting sqref="C10">
    <cfRule type="expression" dxfId="5" priority="65">
      <formula>ISODD($K10)</formula>
    </cfRule>
  </conditionalFormatting>
  <conditionalFormatting sqref="C10">
    <cfRule type="expression" dxfId="4" priority="66">
      <formula>ISODD($K10)</formula>
    </cfRule>
  </conditionalFormatting>
  <conditionalFormatting sqref="B11:C12">
    <cfRule type="expression" dxfId="3" priority="64">
      <formula>ISODD($I11)</formula>
    </cfRule>
  </conditionalFormatting>
  <conditionalFormatting sqref="D7:D8">
    <cfRule type="expression" dxfId="2" priority="30">
      <formula>ISODD($I7)</formula>
    </cfRule>
  </conditionalFormatting>
  <conditionalFormatting sqref="D11:D12">
    <cfRule type="expression" dxfId="1" priority="29">
      <formula>ISODD($I11)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Species</vt:lpstr>
      <vt:lpstr>Reactions</vt:lpstr>
      <vt:lpstr>Constants</vt:lpstr>
      <vt:lpstr>Reactions-2</vt:lpstr>
      <vt:lpstr>Species_short</vt:lpstr>
      <vt:lpstr>short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msheu</dc:creator>
  <cp:lastModifiedBy>Allison Schiffman</cp:lastModifiedBy>
  <dcterms:created xsi:type="dcterms:W3CDTF">2019-05-03T00:53:18Z</dcterms:created>
  <dcterms:modified xsi:type="dcterms:W3CDTF">2020-12-10T22:42:49Z</dcterms:modified>
</cp:coreProperties>
</file>